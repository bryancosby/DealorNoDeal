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cosby\Desktop\"/>
    </mc:Choice>
  </mc:AlternateContent>
  <xr:revisionPtr revIDLastSave="0" documentId="13_ncr:1_{08739541-B317-403C-8626-3EA515279157}" xr6:coauthVersionLast="40" xr6:coauthVersionMax="40" xr10:uidLastSave="{00000000-0000-0000-0000-000000000000}"/>
  <bookViews>
    <workbookView xWindow="-120" yWindow="-120" windowWidth="29040" windowHeight="15840" xr2:uid="{8F0356F6-F051-42A8-A1FF-AECE82DA673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5" i="1" l="1"/>
  <c r="J5" i="1"/>
  <c r="I5" i="1"/>
  <c r="H5" i="1"/>
  <c r="G5" i="1"/>
  <c r="F5" i="1"/>
  <c r="E5" i="1"/>
  <c r="K8" i="1"/>
  <c r="J8" i="1"/>
  <c r="I8" i="1"/>
  <c r="H8" i="1"/>
  <c r="G8" i="1"/>
  <c r="F8" i="1"/>
  <c r="E8" i="1"/>
  <c r="K11" i="1"/>
  <c r="J11" i="1"/>
  <c r="I11" i="1"/>
  <c r="H11" i="1"/>
  <c r="G11" i="1"/>
  <c r="F11" i="1"/>
  <c r="E11" i="1"/>
  <c r="J14" i="1"/>
  <c r="F14" i="1"/>
  <c r="G14" i="1"/>
  <c r="H14" i="1"/>
  <c r="E14" i="1"/>
  <c r="I14" i="1" l="1"/>
  <c r="I15" i="1" s="1"/>
  <c r="T105" i="1" l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04" i="1"/>
  <c r="U104" i="1"/>
  <c r="E63" i="1"/>
  <c r="J12" i="1"/>
  <c r="K12" i="1"/>
  <c r="Q9" i="1"/>
  <c r="Q10" i="1"/>
  <c r="Q11" i="1"/>
  <c r="Q12" i="1"/>
  <c r="Q13" i="1"/>
  <c r="Q14" i="1"/>
  <c r="Q15" i="1"/>
  <c r="Q16" i="1"/>
  <c r="Q7" i="1"/>
  <c r="AB107" i="1" l="1"/>
  <c r="AB121" i="1" s="1"/>
  <c r="AA117" i="1" s="1"/>
  <c r="AH110" i="1"/>
  <c r="AH119" i="1" s="1"/>
  <c r="AA116" i="1" s="1"/>
  <c r="AF113" i="1"/>
  <c r="AF117" i="1" s="1"/>
  <c r="AA108" i="1" s="1"/>
  <c r="AH107" i="1"/>
  <c r="AH121" i="1" s="1"/>
  <c r="AA123" i="1" s="1"/>
  <c r="AG110" i="1"/>
  <c r="AG119" i="1" s="1"/>
  <c r="AA115" i="1" s="1"/>
  <c r="AE113" i="1"/>
  <c r="AE117" i="1" s="1"/>
  <c r="AA107" i="1" s="1"/>
  <c r="AB104" i="1"/>
  <c r="AB123" i="1" s="1"/>
  <c r="AA124" i="1" s="1"/>
  <c r="AG107" i="1"/>
  <c r="AG121" i="1" s="1"/>
  <c r="AA122" i="1" s="1"/>
  <c r="AF110" i="1"/>
  <c r="AF119" i="1" s="1"/>
  <c r="AA114" i="1" s="1"/>
  <c r="AD113" i="1"/>
  <c r="AD117" i="1" s="1"/>
  <c r="AA106" i="1" s="1"/>
  <c r="AG104" i="1"/>
  <c r="AG123" i="1" s="1"/>
  <c r="AA129" i="1" s="1"/>
  <c r="AF107" i="1"/>
  <c r="AF121" i="1" s="1"/>
  <c r="AA121" i="1" s="1"/>
  <c r="AE110" i="1"/>
  <c r="AE119" i="1" s="1"/>
  <c r="AA113" i="1" s="1"/>
  <c r="AC113" i="1"/>
  <c r="AC117" i="1" s="1"/>
  <c r="AA105" i="1" s="1"/>
  <c r="AF104" i="1"/>
  <c r="AF123" i="1" s="1"/>
  <c r="AA128" i="1" s="1"/>
  <c r="AE107" i="1"/>
  <c r="AE121" i="1" s="1"/>
  <c r="AA120" i="1" s="1"/>
  <c r="AD110" i="1"/>
  <c r="AD119" i="1" s="1"/>
  <c r="AA112" i="1" s="1"/>
  <c r="AE104" i="1"/>
  <c r="AE123" i="1" s="1"/>
  <c r="AA127" i="1" s="1"/>
  <c r="AD107" i="1"/>
  <c r="AD121" i="1" s="1"/>
  <c r="AA119" i="1" s="1"/>
  <c r="AC110" i="1"/>
  <c r="AC119" i="1" s="1"/>
  <c r="AA111" i="1" s="1"/>
  <c r="AD104" i="1"/>
  <c r="AD123" i="1" s="1"/>
  <c r="AA126" i="1" s="1"/>
  <c r="AC107" i="1"/>
  <c r="AC121" i="1" s="1"/>
  <c r="AA118" i="1" s="1"/>
  <c r="AB113" i="1"/>
  <c r="AB117" i="1" s="1"/>
  <c r="AA104" i="1" s="1"/>
  <c r="AC104" i="1"/>
  <c r="AC123" i="1" s="1"/>
  <c r="AA125" i="1" s="1"/>
  <c r="AB110" i="1"/>
  <c r="AB119" i="1" s="1"/>
  <c r="AA110" i="1" s="1"/>
  <c r="AG113" i="1"/>
  <c r="AG117" i="1" s="1"/>
  <c r="AA109" i="1" s="1"/>
  <c r="X125" i="1"/>
  <c r="Z125" i="1" s="1"/>
  <c r="X117" i="1"/>
  <c r="Z117" i="1" s="1"/>
  <c r="X111" i="1"/>
  <c r="Z111" i="1" s="1"/>
  <c r="X110" i="1"/>
  <c r="Z110" i="1" s="1"/>
  <c r="X127" i="1"/>
  <c r="Z127" i="1" s="1"/>
  <c r="X129" i="1"/>
  <c r="Z129" i="1" s="1"/>
  <c r="AG106" i="1" s="1"/>
  <c r="J6" i="1" s="1"/>
  <c r="X124" i="1"/>
  <c r="Z124" i="1" s="1"/>
  <c r="X116" i="1"/>
  <c r="Z116" i="1" s="1"/>
  <c r="X123" i="1"/>
  <c r="Z123" i="1" s="1"/>
  <c r="AH109" i="1" s="1"/>
  <c r="K9" i="1" s="1"/>
  <c r="X115" i="1"/>
  <c r="Z115" i="1" s="1"/>
  <c r="AG112" i="1" s="1"/>
  <c r="X122" i="1"/>
  <c r="Z122" i="1" s="1"/>
  <c r="X114" i="1"/>
  <c r="Z114" i="1" s="1"/>
  <c r="X121" i="1"/>
  <c r="Z121" i="1" s="1"/>
  <c r="X113" i="1"/>
  <c r="Z113" i="1" s="1"/>
  <c r="X109" i="1"/>
  <c r="Z109" i="1" s="1"/>
  <c r="X128" i="1"/>
  <c r="Z128" i="1" s="1"/>
  <c r="X120" i="1"/>
  <c r="Z120" i="1" s="1"/>
  <c r="X112" i="1"/>
  <c r="Z112" i="1" s="1"/>
  <c r="X119" i="1"/>
  <c r="Z119" i="1" s="1"/>
  <c r="AD109" i="1" s="1"/>
  <c r="G9" i="1" s="1"/>
  <c r="X126" i="1"/>
  <c r="Z126" i="1" s="1"/>
  <c r="X118" i="1"/>
  <c r="Z118" i="1" s="1"/>
  <c r="X108" i="1"/>
  <c r="Z108" i="1" s="1"/>
  <c r="X107" i="1"/>
  <c r="Z107" i="1" s="1"/>
  <c r="X106" i="1"/>
  <c r="Z106" i="1" s="1"/>
  <c r="X105" i="1"/>
  <c r="Z105" i="1" s="1"/>
  <c r="X104" i="1"/>
  <c r="Z104" i="1" s="1"/>
  <c r="D33" i="1" s="1"/>
  <c r="AD112" i="1" l="1"/>
  <c r="G12" i="1" s="1"/>
  <c r="G27" i="1"/>
  <c r="AB106" i="1"/>
  <c r="E6" i="1" s="1"/>
  <c r="C39" i="1"/>
  <c r="AB109" i="1"/>
  <c r="E9" i="1" s="1"/>
  <c r="C27" i="1"/>
  <c r="AC106" i="1"/>
  <c r="F6" i="1" s="1"/>
  <c r="F33" i="1"/>
  <c r="AE112" i="1"/>
  <c r="H12" i="1" s="1"/>
  <c r="C33" i="1"/>
  <c r="AF106" i="1"/>
  <c r="I6" i="1" s="1"/>
  <c r="E33" i="1"/>
  <c r="AC109" i="1"/>
  <c r="F9" i="1" s="1"/>
  <c r="D27" i="1"/>
  <c r="AF109" i="1"/>
  <c r="I9" i="1" s="1"/>
  <c r="D45" i="1"/>
  <c r="AE106" i="1"/>
  <c r="H6" i="1" s="1"/>
  <c r="E39" i="1"/>
  <c r="AD106" i="1"/>
  <c r="G6" i="1" s="1"/>
  <c r="D39" i="1"/>
  <c r="AF112" i="1"/>
  <c r="I12" i="1" s="1"/>
  <c r="H27" i="1"/>
  <c r="AB112" i="1"/>
  <c r="E12" i="1" s="1"/>
  <c r="E27" i="1"/>
  <c r="AE109" i="1"/>
  <c r="H9" i="1" s="1"/>
  <c r="C51" i="1"/>
  <c r="AH112" i="1"/>
  <c r="I21" i="1"/>
  <c r="AG109" i="1"/>
  <c r="J9" i="1" s="1"/>
  <c r="C45" i="1"/>
  <c r="AC112" i="1"/>
  <c r="F12" i="1" s="1"/>
  <c r="F27" i="1"/>
  <c r="AE115" i="1"/>
  <c r="H15" i="1" s="1"/>
  <c r="F21" i="1"/>
  <c r="AG115" i="1"/>
  <c r="J15" i="1" s="1"/>
  <c r="G21" i="1"/>
  <c r="AF115" i="1"/>
  <c r="E21" i="1"/>
  <c r="AD115" i="1"/>
  <c r="G15" i="1" s="1"/>
  <c r="D21" i="1"/>
  <c r="AC115" i="1"/>
  <c r="F15" i="1" s="1"/>
  <c r="H21" i="1"/>
  <c r="AB115" i="1"/>
  <c r="E15" i="1" s="1"/>
  <c r="C21" i="1"/>
  <c r="X8" i="1" l="1"/>
  <c r="Y8" i="1" s="1"/>
  <c r="Z8" i="1" s="1"/>
  <c r="X15" i="1"/>
  <c r="Y15" i="1" s="1"/>
  <c r="Z15" i="1" s="1"/>
  <c r="X13" i="1"/>
  <c r="Y13" i="1" s="1"/>
  <c r="Z13" i="1" s="1"/>
  <c r="X14" i="1"/>
  <c r="Y14" i="1" s="1"/>
  <c r="Z14" i="1" s="1"/>
  <c r="X4" i="1"/>
  <c r="Y4" i="1" s="1"/>
  <c r="Z4" i="1" s="1"/>
  <c r="X19" i="1"/>
  <c r="Y19" i="1" s="1"/>
  <c r="Z19" i="1" s="1"/>
  <c r="X21" i="1"/>
  <c r="Y21" i="1" s="1"/>
  <c r="Z21" i="1" s="1"/>
  <c r="X17" i="1"/>
  <c r="Y17" i="1" s="1"/>
  <c r="Z17" i="1" s="1"/>
  <c r="X18" i="1"/>
  <c r="Y18" i="1" s="1"/>
  <c r="Z18" i="1" s="1"/>
  <c r="X12" i="1"/>
  <c r="Y12" i="1" s="1"/>
  <c r="Z12" i="1" s="1"/>
  <c r="X3" i="1"/>
  <c r="Y3" i="1" s="1"/>
  <c r="Z3" i="1" s="1"/>
  <c r="X5" i="1"/>
  <c r="Y5" i="1" s="1"/>
  <c r="Z5" i="1" s="1"/>
  <c r="X24" i="1"/>
  <c r="Y24" i="1" s="1"/>
  <c r="Z24" i="1" s="1"/>
  <c r="X25" i="1"/>
  <c r="Y25" i="1" s="1"/>
  <c r="Z25" i="1" s="1"/>
  <c r="X7" i="1"/>
  <c r="Y7" i="1" s="1"/>
  <c r="Z7" i="1" s="1"/>
  <c r="X27" i="1"/>
  <c r="Y27" i="1" s="1"/>
  <c r="Z27" i="1" s="1"/>
  <c r="X16" i="1"/>
  <c r="Y16" i="1" s="1"/>
  <c r="Z16" i="1" s="1"/>
  <c r="X20" i="1"/>
  <c r="Y20" i="1" s="1"/>
  <c r="Z20" i="1" s="1"/>
  <c r="X11" i="1"/>
  <c r="Y11" i="1" s="1"/>
  <c r="Z11" i="1" s="1"/>
  <c r="X23" i="1"/>
  <c r="Y23" i="1" s="1"/>
  <c r="Z23" i="1" s="1"/>
  <c r="X6" i="1"/>
  <c r="Y6" i="1" s="1"/>
  <c r="Z6" i="1" s="1"/>
  <c r="X10" i="1"/>
  <c r="Y10" i="1" s="1"/>
  <c r="Z10" i="1" s="1"/>
  <c r="X22" i="1"/>
  <c r="Y22" i="1" s="1"/>
  <c r="Z22" i="1" s="1"/>
  <c r="X26" i="1"/>
  <c r="Y26" i="1" s="1"/>
  <c r="Z26" i="1" s="1"/>
  <c r="X9" i="1"/>
  <c r="Y9" i="1" s="1"/>
  <c r="Z9" i="1" s="1"/>
  <c r="X28" i="1"/>
  <c r="Y28" i="1" s="1"/>
  <c r="Z28" i="1" s="1"/>
  <c r="Z30" i="1" l="1"/>
  <c r="Y30" i="1"/>
  <c r="Y31" i="1" l="1"/>
  <c r="C59" i="1" l="1"/>
  <c r="C49" i="1"/>
  <c r="C37" i="1"/>
  <c r="C65" i="1"/>
  <c r="C43" i="1"/>
  <c r="C25" i="1"/>
  <c r="C31" i="1"/>
</calcChain>
</file>

<file path=xl/sharedStrings.xml><?xml version="1.0" encoding="utf-8"?>
<sst xmlns="http://schemas.openxmlformats.org/spreadsheetml/2006/main" count="56" uniqueCount="40">
  <si>
    <t>Round</t>
  </si>
  <si>
    <t>Offers</t>
  </si>
  <si>
    <t>Deal</t>
  </si>
  <si>
    <t>No Deal</t>
  </si>
  <si>
    <t>play order</t>
  </si>
  <si>
    <t>choose a case for yourself</t>
  </si>
  <si>
    <t>choose 7 cases</t>
  </si>
  <si>
    <t>offer</t>
  </si>
  <si>
    <t>choose 6 cases</t>
  </si>
  <si>
    <t>choose 4 cases</t>
  </si>
  <si>
    <t>choose 3 cases</t>
  </si>
  <si>
    <t>choose 2</t>
  </si>
  <si>
    <t>choose 1</t>
  </si>
  <si>
    <t>choose between your case and other case</t>
  </si>
  <si>
    <t>Choose your personal case</t>
  </si>
  <si>
    <t>Offer 1</t>
  </si>
  <si>
    <t>amount</t>
  </si>
  <si>
    <t>Still here</t>
  </si>
  <si>
    <t>Choose 7</t>
  </si>
  <si>
    <t>Choose 6</t>
  </si>
  <si>
    <t>Offer 2</t>
  </si>
  <si>
    <t>Accept</t>
  </si>
  <si>
    <t>Reject</t>
  </si>
  <si>
    <t>Choose 4</t>
  </si>
  <si>
    <t>Offer 3</t>
  </si>
  <si>
    <t>Choose 3</t>
  </si>
  <si>
    <t>Choose 2</t>
  </si>
  <si>
    <t>Offer 4</t>
  </si>
  <si>
    <t>Choose 1</t>
  </si>
  <si>
    <t>Choose between your case and the final case</t>
  </si>
  <si>
    <t>Your winnings</t>
  </si>
  <si>
    <t xml:space="preserve">your case </t>
  </si>
  <si>
    <t>remaining case</t>
  </si>
  <si>
    <t>drag down</t>
  </si>
  <si>
    <t>1 to 6</t>
  </si>
  <si>
    <t>7 to 13</t>
  </si>
  <si>
    <t>14 to 20</t>
  </si>
  <si>
    <t>21 to 26</t>
  </si>
  <si>
    <t>Deal or No Deal</t>
  </si>
  <si>
    <t>Final Offer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</si>
</sst>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6"/>
      <color rgb="FFFFFF0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16" fontId="0" fillId="0" borderId="0" xfId="0" applyNumberFormat="1"/>
    <xf numFmtId="164" fontId="0" fillId="0" borderId="1" xfId="1" applyNumberFormat="1" applyFont="1" applyBorder="1"/>
    <xf numFmtId="0" fontId="0" fillId="2" borderId="0" xfId="0" applyFill="1" applyBorder="1"/>
    <xf numFmtId="0" fontId="0" fillId="2" borderId="0" xfId="0" applyFill="1"/>
    <xf numFmtId="0" fontId="0" fillId="0" borderId="0" xfId="0" quotePrefix="1" applyBorder="1"/>
    <xf numFmtId="0" fontId="0" fillId="3" borderId="1" xfId="0" applyFill="1" applyBorder="1"/>
    <xf numFmtId="44" fontId="0" fillId="4" borderId="1" xfId="1" applyFont="1" applyFill="1" applyBorder="1"/>
    <xf numFmtId="164" fontId="4" fillId="0" borderId="0" xfId="1" applyNumberFormat="1" applyFont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0" borderId="0" xfId="0" applyFont="1" applyBorder="1"/>
    <xf numFmtId="164" fontId="4" fillId="0" borderId="1" xfId="1" applyNumberFormat="1" applyFont="1" applyBorder="1"/>
    <xf numFmtId="164" fontId="5" fillId="0" borderId="1" xfId="1" applyNumberFormat="1" applyFont="1" applyBorder="1"/>
    <xf numFmtId="164" fontId="5" fillId="0" borderId="1" xfId="1" applyNumberFormat="1" applyFont="1" applyFill="1" applyBorder="1"/>
    <xf numFmtId="0" fontId="4" fillId="0" borderId="1" xfId="0" applyFont="1" applyBorder="1"/>
  </cellXfs>
  <cellStyles count="2">
    <cellStyle name="Currency" xfId="1" builtinId="4"/>
    <cellStyle name="Normal" xfId="0" builtinId="0"/>
  </cellStyles>
  <dxfs count="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4" tint="0.59996337778862885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30</xdr:row>
          <xdr:rowOff>0</xdr:rowOff>
        </xdr:from>
        <xdr:to>
          <xdr:col>4</xdr:col>
          <xdr:colOff>762000</xdr:colOff>
          <xdr:row>31</xdr:row>
          <xdr:rowOff>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30</xdr:row>
          <xdr:rowOff>0</xdr:rowOff>
        </xdr:from>
        <xdr:to>
          <xdr:col>5</xdr:col>
          <xdr:colOff>762000</xdr:colOff>
          <xdr:row>31</xdr:row>
          <xdr:rowOff>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Deal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</xdr:row>
          <xdr:rowOff>0</xdr:rowOff>
        </xdr:from>
        <xdr:to>
          <xdr:col>4</xdr:col>
          <xdr:colOff>762000</xdr:colOff>
          <xdr:row>25</xdr:row>
          <xdr:rowOff>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70</xdr:row>
          <xdr:rowOff>9525</xdr:rowOff>
        </xdr:from>
        <xdr:to>
          <xdr:col>3</xdr:col>
          <xdr:colOff>209550</xdr:colOff>
          <xdr:row>73</xdr:row>
          <xdr:rowOff>152400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70</xdr:row>
          <xdr:rowOff>19050</xdr:rowOff>
        </xdr:from>
        <xdr:to>
          <xdr:col>4</xdr:col>
          <xdr:colOff>752475</xdr:colOff>
          <xdr:row>73</xdr:row>
          <xdr:rowOff>161925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20</xdr:row>
          <xdr:rowOff>19050</xdr:rowOff>
        </xdr:from>
        <xdr:to>
          <xdr:col>10</xdr:col>
          <xdr:colOff>257175</xdr:colOff>
          <xdr:row>21</xdr:row>
          <xdr:rowOff>171450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C5CDE0E8-2660-45FC-8563-E04ED79B6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your offer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9525</xdr:rowOff>
        </xdr:from>
        <xdr:to>
          <xdr:col>9</xdr:col>
          <xdr:colOff>238125</xdr:colOff>
          <xdr:row>27</xdr:row>
          <xdr:rowOff>161925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F8B8D5B6-868A-4246-816B-06BF17FAD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your offer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32</xdr:row>
          <xdr:rowOff>9525</xdr:rowOff>
        </xdr:from>
        <xdr:to>
          <xdr:col>7</xdr:col>
          <xdr:colOff>219075</xdr:colOff>
          <xdr:row>33</xdr:row>
          <xdr:rowOff>161925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7C52F1B7-BFFC-49F1-B68A-EC7518094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your offer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38</xdr:row>
          <xdr:rowOff>19050</xdr:rowOff>
        </xdr:from>
        <xdr:to>
          <xdr:col>6</xdr:col>
          <xdr:colOff>304800</xdr:colOff>
          <xdr:row>39</xdr:row>
          <xdr:rowOff>171450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575E5670-5AC5-41BB-AAF5-148CDFE3C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your offer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44</xdr:row>
          <xdr:rowOff>28575</xdr:rowOff>
        </xdr:from>
        <xdr:to>
          <xdr:col>5</xdr:col>
          <xdr:colOff>304800</xdr:colOff>
          <xdr:row>45</xdr:row>
          <xdr:rowOff>180975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1A6BA107-46D2-4C96-83DF-CE63789AF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your offer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50</xdr:row>
          <xdr:rowOff>19050</xdr:rowOff>
        </xdr:from>
        <xdr:to>
          <xdr:col>4</xdr:col>
          <xdr:colOff>295275</xdr:colOff>
          <xdr:row>51</xdr:row>
          <xdr:rowOff>171450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8734E132-4318-4FC5-A335-7859C9BC71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your offer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180975</xdr:rowOff>
        </xdr:from>
        <xdr:to>
          <xdr:col>5</xdr:col>
          <xdr:colOff>800100</xdr:colOff>
          <xdr:row>25</xdr:row>
          <xdr:rowOff>19050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D727A24F-C24A-4E47-8D80-04E141297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Deal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36</xdr:row>
          <xdr:rowOff>0</xdr:rowOff>
        </xdr:from>
        <xdr:to>
          <xdr:col>4</xdr:col>
          <xdr:colOff>762000</xdr:colOff>
          <xdr:row>37</xdr:row>
          <xdr:rowOff>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AFBB62B7-7854-4215-9B02-87875F1AD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36</xdr:row>
          <xdr:rowOff>0</xdr:rowOff>
        </xdr:from>
        <xdr:to>
          <xdr:col>5</xdr:col>
          <xdr:colOff>762000</xdr:colOff>
          <xdr:row>37</xdr:row>
          <xdr:rowOff>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7B3BBBEB-A29D-4721-9FFA-40CE6A660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Deal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42</xdr:row>
          <xdr:rowOff>0</xdr:rowOff>
        </xdr:from>
        <xdr:to>
          <xdr:col>5</xdr:col>
          <xdr:colOff>762000</xdr:colOff>
          <xdr:row>43</xdr:row>
          <xdr:rowOff>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96B1BA1C-2D06-4609-939E-3875E4EAA7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Deal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48</xdr:row>
          <xdr:rowOff>0</xdr:rowOff>
        </xdr:from>
        <xdr:to>
          <xdr:col>5</xdr:col>
          <xdr:colOff>762000</xdr:colOff>
          <xdr:row>49</xdr:row>
          <xdr:rowOff>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D0E26FA-EBEB-48F7-AAF7-79928878D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Deal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42</xdr:row>
          <xdr:rowOff>0</xdr:rowOff>
        </xdr:from>
        <xdr:to>
          <xdr:col>4</xdr:col>
          <xdr:colOff>762000</xdr:colOff>
          <xdr:row>43</xdr:row>
          <xdr:rowOff>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C5FBF595-B2D0-4AE1-ACE0-3FE08767A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48</xdr:row>
          <xdr:rowOff>0</xdr:rowOff>
        </xdr:from>
        <xdr:to>
          <xdr:col>4</xdr:col>
          <xdr:colOff>762000</xdr:colOff>
          <xdr:row>49</xdr:row>
          <xdr:rowOff>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2AEBE3F2-FB1C-42DE-860C-3462EC138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008244-55A7-45F9-8FD0-B9DF003E3EAB}">
  <we:reference id="wa104379572" version="2.3.0.0" store="en-US" storeType="OMEX"/>
  <we:alternateReferences>
    <we:reference id="wa104379572" version="2.3.0.0" store="WA1043795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7825-A20D-48B7-AB04-D460757B38A7}">
  <sheetPr codeName="Sheet1"/>
  <dimension ref="B1:AI129"/>
  <sheetViews>
    <sheetView tabSelected="1" workbookViewId="0">
      <pane ySplit="16" topLeftCell="A47" activePane="bottomLeft" state="frozen"/>
      <selection pane="bottomLeft" activeCell="C52" sqref="C52"/>
    </sheetView>
  </sheetViews>
  <sheetFormatPr defaultRowHeight="15" x14ac:dyDescent="0.25"/>
  <cols>
    <col min="2" max="2" width="12" bestFit="1" customWidth="1"/>
    <col min="3" max="3" width="14.7109375" bestFit="1" customWidth="1"/>
    <col min="4" max="4" width="12.5703125" customWidth="1"/>
    <col min="5" max="5" width="12.28515625" customWidth="1"/>
    <col min="6" max="6" width="12.140625" customWidth="1"/>
    <col min="7" max="7" width="13.5703125" customWidth="1"/>
    <col min="8" max="8" width="13.42578125" customWidth="1"/>
    <col min="9" max="9" width="13.140625" customWidth="1"/>
    <col min="10" max="10" width="13.7109375" customWidth="1"/>
    <col min="11" max="11" width="10" customWidth="1"/>
  </cols>
  <sheetData>
    <row r="1" spans="2:33" x14ac:dyDescent="0.25">
      <c r="B1" s="7"/>
      <c r="C1" s="7"/>
      <c r="D1" s="7"/>
      <c r="E1" s="12" t="s">
        <v>38</v>
      </c>
      <c r="F1" s="13"/>
      <c r="G1" s="13"/>
      <c r="H1" s="13"/>
      <c r="I1" s="13"/>
      <c r="J1" s="13"/>
      <c r="K1" s="13"/>
      <c r="L1" s="7"/>
      <c r="M1" s="7"/>
      <c r="N1" s="6"/>
      <c r="O1" s="2"/>
      <c r="P1" s="2"/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</row>
    <row r="2" spans="2:33" x14ac:dyDescent="0.25">
      <c r="B2" s="7"/>
      <c r="C2" s="6"/>
      <c r="D2" s="6"/>
      <c r="E2" s="13"/>
      <c r="F2" s="13"/>
      <c r="G2" s="13"/>
      <c r="H2" s="13"/>
      <c r="I2" s="13"/>
      <c r="J2" s="13"/>
      <c r="K2" s="13"/>
      <c r="L2" s="6"/>
      <c r="M2" s="6"/>
      <c r="N2" s="6"/>
      <c r="O2" s="2"/>
      <c r="P2" s="2"/>
      <c r="W2" t="s">
        <v>16</v>
      </c>
      <c r="X2" t="s">
        <v>17</v>
      </c>
    </row>
    <row r="3" spans="2:33" x14ac:dyDescent="0.25">
      <c r="B3" s="7"/>
      <c r="C3" s="2">
        <v>0.01</v>
      </c>
      <c r="D3" s="6"/>
      <c r="E3" s="6"/>
      <c r="F3" s="6"/>
      <c r="G3" s="6"/>
      <c r="H3" s="6"/>
      <c r="I3" s="6"/>
      <c r="J3" s="6"/>
      <c r="K3" s="6"/>
      <c r="L3" s="6"/>
      <c r="M3" s="2">
        <v>1000</v>
      </c>
      <c r="N3" s="6"/>
      <c r="O3" s="2"/>
      <c r="P3" s="2"/>
      <c r="W3" s="2">
        <v>0.01</v>
      </c>
      <c r="X3">
        <f>_xlfn.IFS($E$15=W3,0,$F$15=W3,0,$G$15=W3,0,$H$15=W3,0,$I$15=W3,0,$J$15=W3,0,$E$12=W3,0,$F$12=W3,0,$G$12=W3,0,$H$12=W3,0,$I$12=W3,0,$J$12=W3,0,$K$12=W3,0,$E$9=W3,0,$F$9=W3,0,$G$9=W3,0,$H$9=W3,0,$I$9=W3,0,$J$9=W3,0,$K$9=W3,0,$E$6=W3,0,$F$6=W3,0,$G$6=W3,0,$H$6=W3,0,$I$6=W3,0,$J$6=W3,0,$I$17=0,1)</f>
        <v>0</v>
      </c>
      <c r="Y3">
        <f>W3*X3</f>
        <v>0</v>
      </c>
      <c r="Z3">
        <f>IF(Y3=0,0,1)</f>
        <v>0</v>
      </c>
      <c r="AA3">
        <v>14</v>
      </c>
      <c r="AB3">
        <v>15</v>
      </c>
      <c r="AC3">
        <v>16</v>
      </c>
      <c r="AD3">
        <v>17</v>
      </c>
      <c r="AE3">
        <v>18</v>
      </c>
      <c r="AF3">
        <v>19</v>
      </c>
      <c r="AG3">
        <v>20</v>
      </c>
    </row>
    <row r="4" spans="2:33" x14ac:dyDescent="0.25">
      <c r="B4" s="7"/>
      <c r="C4" s="2">
        <v>1</v>
      </c>
      <c r="D4" s="6"/>
      <c r="E4" s="6"/>
      <c r="F4" s="6"/>
      <c r="G4" s="6"/>
      <c r="H4" s="6"/>
      <c r="I4" s="6"/>
      <c r="J4" s="6"/>
      <c r="K4" s="6"/>
      <c r="L4" s="6"/>
      <c r="M4" s="2">
        <v>5000</v>
      </c>
      <c r="N4" s="6"/>
      <c r="O4" s="2"/>
      <c r="P4" s="2"/>
      <c r="W4" s="2">
        <v>1</v>
      </c>
      <c r="X4">
        <f t="shared" ref="X4:X28" si="0">_xlfn.IFS($E$15=W4,0,$F$15=W4,0,$G$15=W4,0,$H$15=W4,0,$I$15=W4,0,$J$15=W4,0,$E$12=W4,0,$F$12=W4,0,$G$12=W4,0,$H$12=W4,0,$I$12=W4,0,$J$12=W4,0,$K$12=W4,0,$E$9=W4,0,$F$9=W4,0,$G$9=W4,0,$H$9=W4,0,$I$9=W4,0,$J$9=W4,0,$K$9=W4,0,$E$6=W4,0,$F$6=W4,0,$G$6=W4,0,$H$6=W4,0,$I$6=W4,0,$J$6=W4,0,$I$17=0,1)</f>
        <v>0</v>
      </c>
      <c r="Y4">
        <f t="shared" ref="Y4:Y28" si="1">W4*X4</f>
        <v>0</v>
      </c>
      <c r="Z4">
        <f t="shared" ref="Z4:Z28" si="2">IF(Y4=0,0,1)</f>
        <v>0</v>
      </c>
      <c r="AA4">
        <v>8</v>
      </c>
    </row>
    <row r="5" spans="2:33" x14ac:dyDescent="0.25">
      <c r="B5" s="7"/>
      <c r="C5" s="2">
        <v>5</v>
      </c>
      <c r="D5" s="6"/>
      <c r="E5" s="1" t="str">
        <f>_xlfn.IFS($C$19=AA1,21,$C$22=AA1,"----",$D$22=AA1,"----",$E$22=AA1,"----",$F$22=AA1,"----",$G$22=AA1,"----",$H$22=AA1,"----",$I$22=AA1,"----",$C$28=AA1,"----",$D$28=AA1,"----",$E$28=AA1,"----",$F$28=AA1,"----",$G$28=AA1,"----",$H$28=AA1,"----",$C$34=AA1,"----",$D$34=AA1,"----",$E$34=AA1,"----",$F$34=AA1,"----",$C$40=AA1,"----",$D$40=AA1,"----",$E$40=AA1,"----",$C$46=AA1,"----",$D$46=AA1,"----",$C$52=AA1,"----",$E$16=0,AA1)</f>
        <v>----</v>
      </c>
      <c r="F5" s="1" t="str">
        <f>_xlfn.IFS($C$19=AB1,22,$C$22=AB1,"----",$D$22=AB1,"----",$E$22=AB1,"----",$F$22=AB1,"----",$G$22=AB1,"----",$H$22=AB1,"----",$I$22=AB1,"----",$C$28=AB1,"----",$D$28=AB1,"----",$E$28=AB1,"----",$F$28=AB1,"----",$G$28=AB1,"----",$H$28=AB1,"----",$C$34=AB1,"----",$D$34=AB1,"----",$E$34=AB1,"----",$F$34=AB1,"----",$C$40=AB1,"----",$D$40=AB1,"----",$E$40=AB1,"----",$C$46=AB1,"----",$D$46=AB1,"----",$C$52=AB1,"----",$E$16=0,AB1)</f>
        <v>----</v>
      </c>
      <c r="G5" s="1" t="str">
        <f>_xlfn.IFS($C$19=AC1,23,$C$22=AC1,"----",$D$22=AC1,"----",$E$22=AC1,"----",$F$22=AC1,"----",$G$22=AC1,"----",$H$22=AC1,"----",$I$22=AC1,"----",$C$28=AC1,"----",$D$28=AC1,"----",$E$28=AC1,"----",$F$28=AC1,"----",$G$28=AC1,"----",$H$28=AC1,"----",$C$34=AC1,"----",$D$34=AC1,"----",$E$34=AC1,"----",$F$34=AC1,"----",$C$40=AC1,"----",$D$40=AC1,"----",$E$40=AC1,"----",$C$46=AC1,"----",$D$46=AC1,"----",$C$52=AC1,"----",$E$16=0,AC1)</f>
        <v>----</v>
      </c>
      <c r="H5" s="1">
        <f>_xlfn.IFS($C$19=AD1,24,$C$22=AD1,"----",$D$22=AD1,"----",$E$22=AD1,"----",$F$22=AD1,"----",$G$22=AD1,"----",$H$22=AD1,"----",$I$22=AD1,"----",$C$28=AD1,"----",$D$28=AD1,"----",$E$28=AD1,"----",$F$28=AD1,"----",$G$28=AD1,"----",$H$28=AD1,"----",$C$34=AD1,"----",$D$34=AD1,"----",$E$34=AD1,"----",$F$34=AD1,"----",$C$40=AD1,"----",$D$40=AD1,"----",$E$40=AD1,"----",$C$46=AD1,"----",$D$46=AD1,"----",$C$52=AD1,"----",$E$16=0,AD1)</f>
        <v>24</v>
      </c>
      <c r="I5" s="1" t="str">
        <f>_xlfn.IFS($C$19=AE1,25,$C$22=AE1,"----",$D$22=AE1,"----",$E$22=AE1,"----",$F$22=AE1,"----",$G$22=AE1,"----",$H$22=AE1,"----",$I$22=AE1,"----",$C$28=AE1,"----",$D$28=AE1,"----",$E$28=AE1,"----",$F$28=AE1,"----",$G$28=AE1,"----",$H$28=AE1,"----",$C$34=AE1,"----",$D$34=AE1,"----",$E$34=AE1,"----",$F$34=AE1,"----",$C$40=AE1,"----",$D$40=AE1,"----",$E$40=AE1,"----",$C$46=AE1,"----",$D$46=AE1,"----",$C$52=AE1,"----",$E$16=0,AE1)</f>
        <v>----</v>
      </c>
      <c r="J5" s="1">
        <f>_xlfn.IFS($C$19=AF1,26,$C$22=AF1,"----",$D$22=AF1,"----",$E$22=AF1,"----",$F$22=AF1,"----",$G$22=AF1,"----",$H$22=AF1,"----",$I$22=AF1,"----",$C$28=AF1,"----",$D$28=AF1,"----",$E$28=AF1,"----",$F$28=AF1,"----",$G$28=AF1,"----",$H$28=AF1,"----",$C$34=AF1,"----",$D$34=AF1,"----",$E$34=AF1,"----",$F$34=AF1,"----",$C$40=AF1,"----",$D$40=AF1,"----",$E$40=AF1,"----",$C$46=AF1,"----",$D$46=AF1,"----",$C$52=AF1,"----",$E$16=0,AF1)</f>
        <v>26</v>
      </c>
      <c r="K5" s="6"/>
      <c r="L5" s="6"/>
      <c r="M5" s="2">
        <v>10000</v>
      </c>
      <c r="N5" s="6"/>
      <c r="O5" s="2"/>
      <c r="P5" s="2"/>
      <c r="W5" s="2">
        <v>5</v>
      </c>
      <c r="X5">
        <f t="shared" si="0"/>
        <v>0</v>
      </c>
      <c r="Y5">
        <f t="shared" si="1"/>
        <v>0</v>
      </c>
      <c r="Z5">
        <f t="shared" si="2"/>
        <v>0</v>
      </c>
      <c r="AA5">
        <v>9</v>
      </c>
    </row>
    <row r="6" spans="2:33" x14ac:dyDescent="0.25">
      <c r="B6" s="7"/>
      <c r="C6" s="2">
        <v>10</v>
      </c>
      <c r="D6" s="6"/>
      <c r="E6" s="5">
        <f>IF(E5=$C$19,"My Case",IF(E5="----",AB106,"--"))</f>
        <v>0.01</v>
      </c>
      <c r="F6" s="5">
        <f>IF(F5=$C$19,"My Case",IF(F5="----",AC106,"--"))</f>
        <v>1000</v>
      </c>
      <c r="G6" s="5">
        <f>IF(G5=$C$19,"My Case",IF(G5="----",AD106,"--"))</f>
        <v>400000</v>
      </c>
      <c r="H6" s="5" t="str">
        <f>IF(H5=$C$19,"My Case",IF(H5="----",AE106,"--"))</f>
        <v>--</v>
      </c>
      <c r="I6" s="5">
        <f>IF(I5=$C$19,"My Case",IF(I5="----",AF106,"--"))</f>
        <v>1000000</v>
      </c>
      <c r="J6" s="5" t="str">
        <f>IF(J5=$C$19,"My Case",IF(J5="----",AG106,"--"))</f>
        <v>--</v>
      </c>
      <c r="K6" s="6"/>
      <c r="L6" s="6"/>
      <c r="M6" s="2">
        <v>25000</v>
      </c>
      <c r="N6" s="6"/>
      <c r="O6" s="2"/>
      <c r="P6" s="2"/>
      <c r="S6" t="s">
        <v>4</v>
      </c>
      <c r="W6" s="2">
        <v>10</v>
      </c>
      <c r="X6">
        <f t="shared" si="0"/>
        <v>0</v>
      </c>
      <c r="Y6">
        <f t="shared" si="1"/>
        <v>0</v>
      </c>
      <c r="Z6">
        <f t="shared" si="2"/>
        <v>0</v>
      </c>
      <c r="AA6">
        <v>7</v>
      </c>
      <c r="AB6">
        <v>8</v>
      </c>
      <c r="AC6">
        <v>9</v>
      </c>
      <c r="AD6">
        <v>10</v>
      </c>
      <c r="AE6">
        <v>11</v>
      </c>
      <c r="AF6">
        <v>12</v>
      </c>
      <c r="AG6">
        <v>13</v>
      </c>
    </row>
    <row r="7" spans="2:33" x14ac:dyDescent="0.25">
      <c r="B7" s="7"/>
      <c r="C7" s="2">
        <v>25</v>
      </c>
      <c r="D7" s="6"/>
      <c r="E7" s="6"/>
      <c r="F7" s="6"/>
      <c r="G7" s="6"/>
      <c r="H7" s="6"/>
      <c r="I7" s="6"/>
      <c r="J7" s="6"/>
      <c r="K7" s="6"/>
      <c r="L7" s="6"/>
      <c r="M7" s="2">
        <v>50000</v>
      </c>
      <c r="N7" s="6"/>
      <c r="O7" s="2"/>
      <c r="P7" s="2"/>
      <c r="Q7">
        <f>CHOOSE(1,C3:C15)</f>
        <v>25</v>
      </c>
      <c r="S7" t="s">
        <v>5</v>
      </c>
      <c r="W7" s="2">
        <v>25</v>
      </c>
      <c r="X7">
        <f t="shared" si="0"/>
        <v>1</v>
      </c>
      <c r="Y7">
        <f t="shared" si="1"/>
        <v>25</v>
      </c>
      <c r="Z7">
        <f t="shared" si="2"/>
        <v>1</v>
      </c>
      <c r="AA7">
        <v>11</v>
      </c>
    </row>
    <row r="8" spans="2:33" x14ac:dyDescent="0.25">
      <c r="B8" s="7"/>
      <c r="C8" s="2">
        <v>50</v>
      </c>
      <c r="D8" s="6"/>
      <c r="E8" s="1" t="str">
        <f>_xlfn.IFS($C$19=AA3,14,$C$22=AA3,"----",$D$22=AA3,"----",$E$22=AA3,"----",$F$22=AA3,"----",$G$22=AA3,"----",$H$22=AA3,"----",$I$22=AA3,"----",$C$28=AA3,"----",$D$28=AA3,"----",$E$28=AA3,"----",$F$28=AA3,"----",$G$28=AA3,"----",$H$28=AA3,"----",$C$34=AA3,"----",$D$34=AA3,"----",$E$34=AA3,"----",$F$34=AA3,"----",$C$40=AA3,"----",$D$40=AA3,"----",$E$40=AA3,"----",$C$46=AA3,"----",$D$46=AA3,"----",$C$52=AA3,"----",$E$16=0,AA3)</f>
        <v>----</v>
      </c>
      <c r="F8" s="1" t="str">
        <f>_xlfn.IFS($C$19=AB3,15,$C$22=AB3,"----",$D$22=AB3,"----",$E$22=AB3,"----",$F$22=AB3,"----",$G$22=AB3,"----",$H$22=AB3,"----",$I$22=AB3,"----",$C$28=AB3,"----",$D$28=AB3,"----",$E$28=AB3,"----",$F$28=AB3,"----",$G$28=AB3,"----",$H$28=AB3,"----",$C$34=AB3,"----",$D$34=AB3,"----",$E$34=AB3,"----",$F$34=AB3,"----",$C$40=AB3,"----",$D$40=AB3,"----",$E$40=AB3,"----",$C$46=AB3,"----",$D$46=AB3,"----",$C$52=AB3,"----",$E$16=0,AB3)</f>
        <v>----</v>
      </c>
      <c r="G8" s="1" t="str">
        <f>_xlfn.IFS($C$19=AC3,16,$C$22=AC3,"----",$D$22=AC3,"----",$E$22=AC3,"----",$F$22=AC3,"----",$G$22=AC3,"----",$H$22=AC3,"----",$I$22=AC3,"----",$C$28=AC3,"----",$D$28=AC3,"----",$E$28=AC3,"----",$F$28=AC3,"----",$G$28=AC3,"----",$H$28=AC3,"----",$C$34=AC3,"----",$D$34=AC3,"----",$E$34=AC3,"----",$F$34=AC3,"----",$C$40=AC3,"----",$D$40=AC3,"----",$E$40=AC3,"----",$C$46=AC3,"----",$D$46=AC3,"----",$C$52=AC3,"----",$E$16=0,AC3)</f>
        <v>----</v>
      </c>
      <c r="H8" s="1" t="str">
        <f>_xlfn.IFS($C$19=AD3,17,$C$22=AD3,"----",$D$22=AD3,"----",$E$22=AD3,"----",$F$22=AD3,"----",$G$22=AD3,"----",$H$22=AD3,"----",$I$22=AD3,"----",$C$28=AD3,"----",$D$28=AD3,"----",$E$28=AD3,"----",$F$28=AD3,"----",$G$28=AD3,"----",$H$28=AD3,"----",$C$34=AD3,"----",$D$34=AD3,"----",$E$34=AD3,"----",$F$34=AD3,"----",$C$40=AD3,"----",$D$40=AD3,"----",$E$40=AD3,"----",$C$46=AD3,"----",$D$46=AD3,"----",$C$52=AD3,"----",$E$16=0,AD3)</f>
        <v>----</v>
      </c>
      <c r="I8" s="1" t="str">
        <f>_xlfn.IFS($C$19=AE3,18,$C$22=AE3,"----",$D$22=AE3,"----",$E$22=AE3,"----",$F$22=AE3,"----",$G$22=AE3,"----",$H$22=AE3,"----",$I$22=AE3,"----",$C$28=AE3,"----",$D$28=AE3,"----",$E$28=AE3,"----",$F$28=AE3,"----",$G$28=AE3,"----",$H$28=AE3,"----",$C$34=AE3,"----",$D$34=AE3,"----",$E$34=AE3,"----",$F$34=AE3,"----",$C$40=AE3,"----",$D$40=AE3,"----",$E$40=AE3,"----",$C$46=AE3,"----",$D$46=AE3,"----",$C$52=AE3,"----",$E$16=0,AE3)</f>
        <v>----</v>
      </c>
      <c r="J8" s="1" t="str">
        <f>_xlfn.IFS($C$19=AF3,19,$C$22=AF3,"----",$D$22=AF3,"----",$E$22=AF3,"----",$F$22=AF3,"----",$G$22=AF3,"----",$H$22=AF3,"----",$I$22=AF3,"----",$C$28=AF3,"----",$D$28=AF3,"----",$E$28=AF3,"----",$F$28=AF3,"----",$G$28=AF3,"----",$H$28=AF3,"----",$C$34=AF3,"----",$D$34=AF3,"----",$E$34=AF3,"----",$F$34=AF3,"----",$C$40=AF3,"----",$D$40=AF3,"----",$E$40=AF3,"----",$C$46=AF3,"----",$D$46=AF3,"----",$C$52=AF3,"----",$E$16=0,AF3)</f>
        <v>----</v>
      </c>
      <c r="K8" s="1" t="str">
        <f>_xlfn.IFS($C$19=AG3,20,$C$22=AG3,"----",$D$22=AG3,"----",$E$22=AG3,"----",$F$22=AG3,"----",$G$22=AG3,"----",$H$22=AG3,"----",$I$22=AG3,"----",$C$28=AG3,"----",$D$28=AG3,"----",$E$28=AG3,"----",$F$28=AG3,"----",$G$28=AG3,"----",$H$28=AG3,"----",$C$34=AG3,"----",$D$34=AG3,"----",$E$34=AG3,"----",$F$34=AG3,"----",$C$40=AG3,"----",$D$40=AG3,"----",$E$40=AG3,"----",$C$46=AG3,"----",$D$46=AG3,"----",$C$52=AG3,"----",$E$16=0,AG3)</f>
        <v>----</v>
      </c>
      <c r="L8" s="6"/>
      <c r="M8" s="2">
        <v>75000</v>
      </c>
      <c r="N8" s="6"/>
      <c r="O8" s="2"/>
      <c r="P8" s="2"/>
      <c r="S8" t="s">
        <v>6</v>
      </c>
      <c r="W8" s="2">
        <v>50</v>
      </c>
      <c r="X8">
        <f t="shared" si="0"/>
        <v>0</v>
      </c>
      <c r="Y8">
        <f t="shared" si="1"/>
        <v>0</v>
      </c>
      <c r="Z8">
        <f t="shared" si="2"/>
        <v>0</v>
      </c>
      <c r="AA8">
        <v>12</v>
      </c>
    </row>
    <row r="9" spans="2:33" x14ac:dyDescent="0.25">
      <c r="B9" s="7"/>
      <c r="C9" s="2">
        <v>75</v>
      </c>
      <c r="D9" s="6"/>
      <c r="E9" s="5">
        <f>IF(E8=$C$19,"My Case",IF(E8="----",AB109,"--"))</f>
        <v>400</v>
      </c>
      <c r="F9" s="5">
        <f>IF(F8=$C$19,"My Case",IF(F8="----",AC109,"--"))</f>
        <v>5</v>
      </c>
      <c r="G9" s="5">
        <f>IF(G8=$C$19,"My Case",IF(G8="----",AD109,"--"))</f>
        <v>100000</v>
      </c>
      <c r="H9" s="5">
        <f>IF(H8=$C$19,"My Case",IF(H8="----",AE109,"--"))</f>
        <v>75000</v>
      </c>
      <c r="I9" s="5">
        <f>IF(I8=$C$19,"My Case",IF(I8="----",AF109,"--"))</f>
        <v>25000</v>
      </c>
      <c r="J9" s="5">
        <f>IF(J8=$C$19,"My Case",IF(J8="----",AG109,"--"))</f>
        <v>300</v>
      </c>
      <c r="K9" s="5">
        <f>IF(K8=$C$19,"My Case",IF(K8="----",AH109,"--"))</f>
        <v>50000</v>
      </c>
      <c r="L9" s="6"/>
      <c r="M9" s="2">
        <v>100000</v>
      </c>
      <c r="N9" s="6"/>
      <c r="O9" s="2"/>
      <c r="P9" s="2"/>
      <c r="Q9">
        <f>CHOOSE(1,C5:C17)</f>
        <v>75</v>
      </c>
      <c r="S9" t="s">
        <v>7</v>
      </c>
      <c r="W9" s="2">
        <v>75</v>
      </c>
      <c r="X9">
        <f t="shared" si="0"/>
        <v>0</v>
      </c>
      <c r="Y9">
        <f t="shared" si="1"/>
        <v>0</v>
      </c>
      <c r="Z9">
        <f t="shared" si="2"/>
        <v>0</v>
      </c>
      <c r="AA9">
        <v>13</v>
      </c>
    </row>
    <row r="10" spans="2:33" x14ac:dyDescent="0.25">
      <c r="B10" s="7"/>
      <c r="C10" s="2">
        <v>100</v>
      </c>
      <c r="D10" s="6"/>
      <c r="E10" s="6"/>
      <c r="F10" s="6"/>
      <c r="G10" s="6"/>
      <c r="H10" s="6"/>
      <c r="I10" s="6"/>
      <c r="J10" s="6"/>
      <c r="K10" s="6"/>
      <c r="L10" s="6"/>
      <c r="M10" s="2">
        <v>200000</v>
      </c>
      <c r="N10" s="6"/>
      <c r="O10" s="2"/>
      <c r="P10" s="2"/>
      <c r="Q10">
        <f t="shared" ref="Q10:Q16" si="3">CHOOSE(1,C6:C21)</f>
        <v>100</v>
      </c>
      <c r="S10" t="s">
        <v>8</v>
      </c>
      <c r="W10" s="2">
        <v>100</v>
      </c>
      <c r="X10">
        <f t="shared" si="0"/>
        <v>0</v>
      </c>
      <c r="Y10">
        <f t="shared" si="1"/>
        <v>0</v>
      </c>
      <c r="Z10">
        <f t="shared" si="2"/>
        <v>0</v>
      </c>
      <c r="AA10">
        <v>14</v>
      </c>
    </row>
    <row r="11" spans="2:33" x14ac:dyDescent="0.25">
      <c r="B11" s="7"/>
      <c r="C11" s="2">
        <v>200</v>
      </c>
      <c r="D11" s="6"/>
      <c r="E11" s="1" t="str">
        <f>_xlfn.IFS($C$19=AA6,7,$C$22=AA6,"----",$D$22=AA6,"----",$E$22=AA6,"----",$F$22=AA6,"----",$G$22=AA6,"----",$H$22=AA6,"----",$I$22=AA6,"----",$C$28=AA6,"----",$D$28=AA6,"----",$E$28=AA6,"----",$F$28=AA6,"----",$G$28=AA6,"----",$H$28=AA6,"----",$C$34=AA6,"----",$D$34=AA6,"----",$E$34=AA6,"----",$F$34=AA6,"----",$C$40=AA6,"----",$D$40=AA6,"----",$E$40=AA6,"----",$C$46=AA6,"----",$D$46=AA6,"----",$C$52=AA6,"----",$E$16=0,AA6)</f>
        <v>----</v>
      </c>
      <c r="F11" s="1" t="str">
        <f>_xlfn.IFS($C$19=AB6,8,$C$22=AB6,"----",$D$22=AB6,"----",$E$22=AB6,"----",$F$22=AB6,"----",$G$22=AB6,"----",$H$22=AB6,"----",$I$22=AB6,"----",$C$28=AB6,"----",$D$28=AB6,"----",$E$28=AB6,"----",$F$28=AB6,"----",$G$28=AB6,"----",$H$28=AB6,"----",$C$34=AB6,"----",$D$34=AB6,"----",$E$34=AB6,"----",$F$34=AB6,"----",$C$40=AB6,"----",$D$40=AB6,"----",$E$40=AB6,"----",$C$46=AB6,"----",$D$46=AB6,"----",$C$52=AB6,"----",$E$16=0,AB6)</f>
        <v>----</v>
      </c>
      <c r="G11" s="1" t="str">
        <f>_xlfn.IFS($C$19=AC6,9,$C$22=AC6,"----",$D$22=AC6,"----",$E$22=AC6,"----",$F$22=AC6,"----",$G$22=AC6,"----",$H$22=AC6,"----",$I$22=AC6,"----",$C$28=AC6,"----",$D$28=AC6,"----",$E$28=AC6,"----",$F$28=AC6,"----",$G$28=AC6,"----",$H$28=AC6,"----",$C$34=AC6,"----",$D$34=AC6,"----",$E$34=AC6,"----",$F$34=AC6,"----",$C$40=AC6,"----",$D$40=AC6,"----",$E$40=AC6,"----",$C$46=AC6,"----",$D$46=AC6,"----",$C$52=AC6,"----",$E$16=0,AC6)</f>
        <v>----</v>
      </c>
      <c r="H11" s="1" t="str">
        <f>_xlfn.IFS($C$19=AD6,10,$C$22=AD6,"----",$D$22=AD6,"----",$E$22=AD6,"----",$F$22=AD6,"----",$G$22=AD6,"----",$H$22=AD6,"----",$I$22=AD6,"----",$C$28=AD6,"----",$D$28=AD6,"----",$E$28=AD6,"----",$F$28=AD6,"----",$G$28=AD6,"----",$H$28=AD6,"----",$C$34=AD6,"----",$D$34=AD6,"----",$E$34=AD6,"----",$F$34=AD6,"----",$C$40=AD6,"----",$D$40=AD6,"----",$E$40=AD6,"----",$C$46=AD6,"----",$D$46=AD6,"----",$C$52=AD6,"----",$E$16=0,AD6)</f>
        <v>----</v>
      </c>
      <c r="I11" s="1" t="str">
        <f>_xlfn.IFS($C$19=AE6,11,$C$22=AE6,"----",$D$22=AE6,"----",$E$22=AE6,"----",$F$22=AE6,"----",$G$22=AE6,"----",$H$22=AE6,"----",$I$22=AE6,"----",$C$28=AE6,"----",$D$28=AE6,"----",$E$28=AE6,"----",$F$28=AE6,"----",$G$28=AE6,"----",$H$28=AE6,"----",$C$34=AE6,"----",$D$34=AE6,"----",$E$34=AE6,"----",$F$34=AE6,"----",$C$40=AE6,"----",$D$40=AE6,"----",$E$40=AE6,"----",$C$46=AE6,"----",$D$46=AE6,"----",$C$52=AE6,"----",$E$16=0,AE6)</f>
        <v>----</v>
      </c>
      <c r="J11" s="1" t="str">
        <f>_xlfn.IFS($C$19=AF6,12,$C$22=AF6,"----",$D$22=AF6,"----",$E$22=AF6,"----",$F$22=AF6,"----",$G$22=AF6,"----",$H$22=AF6,"----",$I$22=AF6,"----",$C$28=AF6,"----",$D$28=AF6,"----",$E$28=AF6,"----",$F$28=AF6,"----",$G$28=AF6,"----",$H$28=AF6,"----",$C$34=AF6,"----",$D$34=AF6,"----",$E$34=AF6,"----",$F$34=AF6,"----",$C$40=AF6,"----",$D$40=AF6,"----",$E$40=AF6,"----",$C$46=AF6,"----",$D$46=AF6,"----",$C$52=AF6,"----",$E$16=0,AF6)</f>
        <v>----</v>
      </c>
      <c r="K11" s="1" t="str">
        <f>_xlfn.IFS($C$19=AG6,13,$C$22=AG6,"----",$D$22=AG6,"----",$E$22=AG6,"----",$F$22=AG6,"----",$G$22=AG6,"----",$H$22=AG6,"----",$I$22=AG6,"----",$C$28=AG6,"----",$D$28=AG6,"----",$E$28=AG6,"----",$F$28=AG6,"----",$G$28=AG6,"----",$H$28=AG6,"----",$C$34=AG6,"----",$D$34=AG6,"----",$E$34=AG6,"----",$F$34=AG6,"----",$C$40=AG6,"----",$D$40=AG6,"----",$E$40=AG6,"----",$C$46=AG6,"----",$D$46=AG6,"----",$C$52=AG6,"----",$E$16=0,AG6)</f>
        <v>----</v>
      </c>
      <c r="L11" s="6"/>
      <c r="M11" s="2">
        <v>300000</v>
      </c>
      <c r="N11" s="6"/>
      <c r="O11" s="2"/>
      <c r="P11" s="2"/>
      <c r="Q11">
        <f t="shared" si="3"/>
        <v>200</v>
      </c>
      <c r="S11" t="s">
        <v>7</v>
      </c>
      <c r="W11" s="2">
        <v>200</v>
      </c>
      <c r="X11">
        <f t="shared" si="0"/>
        <v>0</v>
      </c>
      <c r="Y11">
        <f t="shared" si="1"/>
        <v>0</v>
      </c>
      <c r="Z11">
        <f t="shared" si="2"/>
        <v>0</v>
      </c>
      <c r="AA11">
        <v>15</v>
      </c>
    </row>
    <row r="12" spans="2:33" x14ac:dyDescent="0.25">
      <c r="B12" s="7"/>
      <c r="C12" s="2">
        <v>300</v>
      </c>
      <c r="D12" s="6"/>
      <c r="E12" s="5">
        <f>IF(E11=$C$19,"My Case",IF(E11="----",AB112,"--"))</f>
        <v>10</v>
      </c>
      <c r="F12" s="5">
        <f>IF(F11=$C$19,"My Case",IF(F11="----",AC112,"--"))</f>
        <v>200</v>
      </c>
      <c r="G12" s="5">
        <f>IF(G11=$C$19,"My Case",IF(G11="----",AD112,"--"))</f>
        <v>5000</v>
      </c>
      <c r="H12" s="5">
        <f>IF(H11=$C$19,"My Case",IF(H11="----",AE112,"--"))</f>
        <v>75</v>
      </c>
      <c r="I12" s="5">
        <f>IF(I11=$C$19,"My Case",IF(I11="----",AF112,"--"))</f>
        <v>1</v>
      </c>
      <c r="J12" s="5">
        <f>IF(J11=$C$19,"My Case",IF(J11="----",AG112,"--"))</f>
        <v>100</v>
      </c>
      <c r="K12" s="5">
        <f>IF(K11=$C$19,"My Case",IF(K11="----",AH112,"--"))</f>
        <v>10000</v>
      </c>
      <c r="L12" s="6"/>
      <c r="M12" s="2">
        <v>400000</v>
      </c>
      <c r="N12" s="6"/>
      <c r="O12" s="2"/>
      <c r="P12" s="2"/>
      <c r="Q12">
        <f t="shared" si="3"/>
        <v>300</v>
      </c>
      <c r="S12" t="s">
        <v>9</v>
      </c>
      <c r="W12" s="2">
        <v>300</v>
      </c>
      <c r="X12">
        <f t="shared" si="0"/>
        <v>0</v>
      </c>
      <c r="Y12">
        <f t="shared" si="1"/>
        <v>0</v>
      </c>
      <c r="Z12">
        <f t="shared" si="2"/>
        <v>0</v>
      </c>
      <c r="AA12">
        <v>16</v>
      </c>
    </row>
    <row r="13" spans="2:33" x14ac:dyDescent="0.25">
      <c r="B13" s="7"/>
      <c r="C13" s="2">
        <v>400</v>
      </c>
      <c r="D13" s="6"/>
      <c r="E13" s="6"/>
      <c r="F13" s="6"/>
      <c r="G13" s="6"/>
      <c r="H13" s="6"/>
      <c r="I13" s="6"/>
      <c r="J13" s="6"/>
      <c r="K13" s="6"/>
      <c r="L13" s="6"/>
      <c r="M13" s="2">
        <v>500000</v>
      </c>
      <c r="N13" s="6"/>
      <c r="O13" s="2"/>
      <c r="P13" s="2"/>
      <c r="Q13">
        <f t="shared" si="3"/>
        <v>400</v>
      </c>
      <c r="S13" t="s">
        <v>7</v>
      </c>
      <c r="W13" s="2">
        <v>400</v>
      </c>
      <c r="X13">
        <f t="shared" si="0"/>
        <v>0</v>
      </c>
      <c r="Y13">
        <f t="shared" si="1"/>
        <v>0</v>
      </c>
      <c r="Z13">
        <f t="shared" si="2"/>
        <v>0</v>
      </c>
      <c r="AA13">
        <v>17</v>
      </c>
    </row>
    <row r="14" spans="2:33" x14ac:dyDescent="0.25">
      <c r="B14" s="7"/>
      <c r="C14" s="2">
        <v>500</v>
      </c>
      <c r="D14" s="6"/>
      <c r="E14" s="1">
        <f>_xlfn.IFS($C$19=1,1,$C$22=1,"----",$D$22=1,"----",$E$22=1,"----",$F$22=1,"----",$G$22=1,"----",$H$22=1,"----",$I$22=1,"----",$C$28=1,"----",$D$28=1,"----",$E$28=1,"----",$F$28=1,"----",$G$28=1,"----",$H$28=1,"----",$C$34=1,"----",$D$34=1,"----",$E$34=1,"----",$F$34=1,"----",$C$40=1,"----",$D$40=1,"----",$E$40=1,"----",$C$46=1,"----",$D$46=1,"----",$C$52=1,"----",$E$16=0,1)</f>
        <v>1</v>
      </c>
      <c r="F14" s="1" t="str">
        <f>_xlfn.IFS($C$19=2,2,$C$22=2,"----",$D$22=2,"----",$E$22=2,"----",$F$22=2,"----",$G$22=2,"----",$H$22=2,"----",$I$22=2,"----",$C$28=2,"----",$D$28=2,"----",$E$28=2,"----",$F$28=2,"----",$G$28=2,"----",$H$28=2,"----",$C$34=2,"----",$D$34=2,"----",$E$34=2,"----",$F$34=2,"----",$C$40=2,"----",$D$40=2,"----",$E$40=2,"----",$C$46=2,"----",$D$46=2,"----",$C$52=2,"----",$E$16=0,2)</f>
        <v>----</v>
      </c>
      <c r="G14" s="1" t="str">
        <f>_xlfn.IFS($C$19=3,3,$C$22=3,"----",$D$22=3,"----",$E$22=3,"----",$F$22=3,"----",$G$22=3,"----",$H$22=3,"----",$I$22=3,"----",$C$28=3,"----",$D$28=3,"----",$E$28=3,"----",$F$28=3,"----",$G$28=3,"----",$H$28=3,"----",$C$34=3,"----",$D$34=3,"----",$E$34=3,"----",$F$34=3,"----",$C$40=3,"----",$D$40=3,"----",$E$40=3,"----",$C$46=3,"----",$D$46=3,"----",$C$52=3,"----",$E$16=0,3)</f>
        <v>----</v>
      </c>
      <c r="H14" s="1" t="str">
        <f>_xlfn.IFS($C$19=4,4,$C$22=4,"----",$D$22=4,"----",$E$22=4,"----",$F$22=4,"----",$G$22=4,"----",$H$22=4,"----",$I$22=4,"----",$C$28=4,"----",$D$28=4,"----",$E$28=4,"----",$F$28=4,"----",$G$28=4,"----",$H$28=4,"----",$C$34=4,"----",$D$34=4,"----",$E$34=4,"----",$F$34=4,"----",$C$40=4,"----",$D$40=4,"----",$E$40=4,"----",$C$46=4,"----",$D$46=4,"----",$C$52=4,"----",$E$16=0,4)</f>
        <v>----</v>
      </c>
      <c r="I14" s="1" t="str">
        <f>_xlfn.IFS($C$19=5,5,$C$22=5,"----",$D$22=5,"----",$E$22=5,"----",$F$22=5,"----",$G$22=5,"----",$H$22=5,"----",$I$22=5,"----",$C$28=5,"----",$D$28=5,"----",$E$28=5,"----",$F$28=5,"----",$G$28=5,"----",$H$28=5,"----",$C$34=5,"----",$D$34=5,"----",$E$34=5,"----",$F$34=5,"----",$C$40=5,"----",$D$40=5,"----",$E$40=5,"----",$C$46=5,"----",$D$46=5,"----",$C$52=5,"----",$E$16=0,5)</f>
        <v>----</v>
      </c>
      <c r="J14" s="1" t="str">
        <f>_xlfn.IFS($C$19=6,6,$C$22=6,"----",$D$22=6,"----",$E$22=6,"----",$F$22=6,"----",$G$22=6,"----",$H$22=6,"----",$I$22=6,"----",$C$28=6,"----",$D$28=6,"----",$E$28=6,"----",$F$28=6,"----",$G$28=6,"----",$H$28=6,"----",$C$34=6,"----",$D$34=6,"----",$E$34=6,"----",$F$34=6,"----",$C$40=6,"----",$D$40=6,"----",$E$40=6,"----",$C$46=6,"----",$D$46=6,"----",$C$52=6,"----",$E$16=0,6)</f>
        <v>----</v>
      </c>
      <c r="K14" s="6"/>
      <c r="L14" s="6"/>
      <c r="M14" s="2">
        <v>750000</v>
      </c>
      <c r="N14" s="6"/>
      <c r="O14" s="2"/>
      <c r="P14" s="2"/>
      <c r="Q14">
        <f t="shared" si="3"/>
        <v>500</v>
      </c>
      <c r="S14" t="s">
        <v>10</v>
      </c>
      <c r="W14" s="2">
        <v>500</v>
      </c>
      <c r="X14">
        <f t="shared" si="0"/>
        <v>0</v>
      </c>
      <c r="Y14">
        <f t="shared" si="1"/>
        <v>0</v>
      </c>
      <c r="Z14">
        <f t="shared" si="2"/>
        <v>0</v>
      </c>
      <c r="AA14">
        <v>18</v>
      </c>
    </row>
    <row r="15" spans="2:33" x14ac:dyDescent="0.25">
      <c r="B15" s="7"/>
      <c r="C15" s="2">
        <v>750</v>
      </c>
      <c r="D15" s="6"/>
      <c r="E15" s="5" t="str">
        <f>IF(E14=$C$19,"My Case",IF(E14="----",AB115,"--"))</f>
        <v>My Case</v>
      </c>
      <c r="F15" s="5">
        <f>IF(F14=$C$19,"My Case",IF(F14="----",AC115,"--"))</f>
        <v>200000</v>
      </c>
      <c r="G15" s="5">
        <f>IF(G14=$C$19,"My Case",IF(G14="----",AD115,"--"))</f>
        <v>500</v>
      </c>
      <c r="H15" s="5">
        <f>IF(H14=$C$19,"My Case",IF(H14="----",AE115,"--"))</f>
        <v>750</v>
      </c>
      <c r="I15" s="5">
        <f>IF(I14=$C$19,"My Case",IF(I14="----",AF115,"--"))</f>
        <v>750000</v>
      </c>
      <c r="J15" s="5">
        <f>IF(J14=$C$19,"My Case",IF(J14="----",AG115,"--"))</f>
        <v>50</v>
      </c>
      <c r="K15" s="6"/>
      <c r="L15" s="6"/>
      <c r="M15" s="2">
        <v>1000000</v>
      </c>
      <c r="N15" s="6"/>
      <c r="O15" s="2"/>
      <c r="P15" s="2"/>
      <c r="Q15">
        <f t="shared" si="3"/>
        <v>750</v>
      </c>
      <c r="S15" t="s">
        <v>7</v>
      </c>
      <c r="W15" s="2">
        <v>750</v>
      </c>
      <c r="X15">
        <f t="shared" si="0"/>
        <v>0</v>
      </c>
      <c r="Y15">
        <f t="shared" si="1"/>
        <v>0</v>
      </c>
      <c r="Z15">
        <f t="shared" si="2"/>
        <v>0</v>
      </c>
      <c r="AA15">
        <v>19</v>
      </c>
    </row>
    <row r="16" spans="2:33" x14ac:dyDescent="0.25">
      <c r="B16" s="7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2"/>
      <c r="P16" s="2"/>
      <c r="Q16">
        <f t="shared" si="3"/>
        <v>0</v>
      </c>
      <c r="S16" t="s">
        <v>11</v>
      </c>
      <c r="W16" s="2">
        <v>1000</v>
      </c>
      <c r="X16">
        <f t="shared" si="0"/>
        <v>0</v>
      </c>
      <c r="Y16">
        <f t="shared" si="1"/>
        <v>0</v>
      </c>
      <c r="Z16">
        <f t="shared" si="2"/>
        <v>0</v>
      </c>
      <c r="AA16">
        <v>20</v>
      </c>
    </row>
    <row r="17" spans="2:27" x14ac:dyDescent="0.25">
      <c r="C17" s="2" t="s">
        <v>0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 t="s">
        <v>1</v>
      </c>
      <c r="P17" s="2"/>
      <c r="S17" t="s">
        <v>7</v>
      </c>
      <c r="W17" s="2">
        <v>5000</v>
      </c>
      <c r="X17">
        <f t="shared" si="0"/>
        <v>0</v>
      </c>
      <c r="Y17">
        <f t="shared" si="1"/>
        <v>0</v>
      </c>
      <c r="Z17">
        <f t="shared" si="2"/>
        <v>0</v>
      </c>
      <c r="AA17">
        <v>21</v>
      </c>
    </row>
    <row r="18" spans="2:27" x14ac:dyDescent="0.25">
      <c r="C18" s="2" t="s">
        <v>14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W18" s="2">
        <v>10000</v>
      </c>
      <c r="X18">
        <f t="shared" si="0"/>
        <v>0</v>
      </c>
      <c r="Y18">
        <f t="shared" si="1"/>
        <v>0</v>
      </c>
      <c r="Z18">
        <f t="shared" si="2"/>
        <v>0</v>
      </c>
      <c r="AA18">
        <v>22</v>
      </c>
    </row>
    <row r="19" spans="2:27" x14ac:dyDescent="0.25">
      <c r="C19" s="1">
        <v>1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W19" s="2">
        <v>25000</v>
      </c>
      <c r="X19">
        <f t="shared" si="0"/>
        <v>0</v>
      </c>
      <c r="Y19">
        <f t="shared" si="1"/>
        <v>0</v>
      </c>
      <c r="Z19">
        <f t="shared" si="2"/>
        <v>0</v>
      </c>
      <c r="AA19">
        <v>23</v>
      </c>
    </row>
    <row r="20" spans="2:27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W20" s="2">
        <v>50000</v>
      </c>
      <c r="X20">
        <f t="shared" si="0"/>
        <v>0</v>
      </c>
      <c r="Y20">
        <f t="shared" si="1"/>
        <v>0</v>
      </c>
      <c r="Z20">
        <f t="shared" si="2"/>
        <v>0</v>
      </c>
      <c r="AA20">
        <v>24</v>
      </c>
    </row>
    <row r="21" spans="2:27" x14ac:dyDescent="0.25">
      <c r="B21" t="s">
        <v>18</v>
      </c>
      <c r="C21" s="10">
        <f>_xlfn.IFS(C22=1,$Z$104,C22=2,$Z$105,C22=3,$Z$106,C22=4,$Z$107,C22=5,$Z$108,C22=6,$Z$109,C22=7,$Z$110,C22=8,$Z$111,C22=9,$Z$112,C22=10,$Z$113,C22=11,$Z$114,C22=12,$Z$115,C22=13,$Z$116,C22=14,$Z$117,C22=15,$Z$118,C22=16,$Z$119,C22=17,$Z$120,C22=18,$Z$121,C22=19,$Z$122,C22=20,$Z$123,C22=21,$Z$124,C22=22,$Z$125,C22=23,$Z$126,C22=24,$Z$127,C22=25,$Z$128,C22=26,$Z$129)</f>
        <v>200000</v>
      </c>
      <c r="D21" s="10">
        <f>_xlfn.IFS(D22=1,$Z$104,D22=2,$Z$105,D22=3,$Z$106,D22=4,$Z$107,D22=5,$Z$108,D22=6,$Z$109,D22=7,$Z$110,D22=8,$Z$111,D22=9,$Z$112,D22=10,$Z$113,D22=11,$Z$114,D22=12,$Z$115,D22=13,$Z$116,D22=14,$Z$117,D22=15,$Z$118,D22=16,$Z$119,D22=17,$Z$120,D22=18,$Z$121,D22=19,$Z$122,D22=20,$Z$123,D22=21,$Z$124,D22=22,$Z$125,D22=23,$Z$126,D22=24,$Z$127,D22=25,$Z$128,D22=26,$Z$129)</f>
        <v>500</v>
      </c>
      <c r="E21" s="10">
        <f>_xlfn.IFS(E22=1,$Z$104,E22=2,$Z$105,E22=3,$Z$106,E22=4,$Z$107,E22=5,$Z$108,E22=6,$Z$109,E22=7,$Z$110,E22=8,$Z$111,E22=9,$Z$112,E22=10,$Z$113,E22=11,$Z$114,E22=12,$Z$115,E22=13,$Z$116,E22=14,$Z$117,E22=15,$Z$118,E22=16,$Z$119,E22=17,$Z$120,E22=18,$Z$121,E22=19,$Z$122,E22=20,$Z$123,E22=21,$Z$124,E22=22,$Z$125,E22=23,$Z$126,E22=24,$Z$127,E22=25,$Z$128,E22=26,$Z$129)</f>
        <v>750</v>
      </c>
      <c r="F21" s="10">
        <f>_xlfn.IFS(F22=1,$Z$104,F22=2,$Z$105,F22=3,$Z$106,F22=4,$Z$107,F22=5,$Z$108,F22=6,$Z$109,F22=7,$Z$110,F22=8,$Z$111,F22=9,$Z$112,F22=10,$Z$113,F22=11,$Z$114,F22=12,$Z$115,F22=13,$Z$116,F22=14,$Z$117,F22=15,$Z$118,F22=16,$Z$119,F22=17,$Z$120,F22=18,$Z$121,F22=19,$Z$122,F22=20,$Z$123,F22=21,$Z$124,F22=22,$Z$125,F22=23,$Z$126,F22=24,$Z$127,F22=25,$Z$128,F22=26,$Z$129)</f>
        <v>750000</v>
      </c>
      <c r="G21" s="10">
        <f>_xlfn.IFS(G22=1,$Z$104,G22=2,$Z$105,G22=3,$Z$106,G22=4,$Z$107,G22=5,$Z$108,G22=6,$Z$109,G22=7,$Z$110,G22=8,$Z$111,G22=9,$Z$112,G22=10,$Z$113,G22=11,$Z$114,G22=12,$Z$115,G22=13,$Z$116,G22=14,$Z$117,G22=15,$Z$118,G22=16,$Z$119,G22=17,$Z$120,G22=18,$Z$121,G22=19,$Z$122,G22=20,$Z$123,G22=21,$Z$124,G22=22,$Z$125,G22=23,$Z$126,G22=24,$Z$127,G22=25,$Z$128,G22=26,$Z$129)</f>
        <v>50</v>
      </c>
      <c r="H21" s="10">
        <f>_xlfn.IFS(H22=1,$Z$104,H22=2,$Z$105,H22=3,$Z$106,H22=4,$Z$107,H22=5,$Z$108,H22=6,$Z$109,H22=7,$Z$110,H22=8,$Z$111,H22=9,$Z$112,H22=10,$Z$113,H22=11,$Z$114,H22=12,$Z$115,H22=13,$Z$116,H22=14,$Z$117,H22=15,$Z$118,H22=16,$Z$119,H22=17,$Z$120,H22=18,$Z$121,H22=19,$Z$122,H22=20,$Z$123,H22=21,$Z$124,H22=22,$Z$125,H22=23,$Z$126,H22=24,$Z$127,H22=25,$Z$128,H22=26,$Z$129)</f>
        <v>10</v>
      </c>
      <c r="I21" s="10">
        <f>_xlfn.IFS(I22=1,$Z$104,I22=2,$Z$105,I22=3,$Z$106,I22=4,$Z$107,I22=5,$Z$108,I22=6,$Z$109,I22=7,$Z$110,I22=8,$Z$111,I22=9,$Z$112,I22=10,$Z$113,I22=11,$Z$114,I22=12,$Z$115,I22=13,$Z$116,I22=14,$Z$117,I22=15,$Z$118,I22=16,$Z$119,I22=17,$Z$120,I22=18,$Z$121,I22=19,$Z$122,I22=20,$Z$123,I22=21,$Z$124,I22=22,$Z$125,I22=23,$Z$126,I22=24,$Z$127,I22=25,$Z$128,I22=26,$Z$129)</f>
        <v>200</v>
      </c>
      <c r="J21" s="2"/>
      <c r="K21" s="2"/>
      <c r="L21" s="3"/>
      <c r="M21" s="2"/>
      <c r="N21" s="2"/>
      <c r="O21" s="2" t="s">
        <v>2</v>
      </c>
      <c r="P21" s="2" t="s">
        <v>3</v>
      </c>
      <c r="S21" t="s">
        <v>12</v>
      </c>
      <c r="W21" s="2">
        <v>75000</v>
      </c>
      <c r="X21">
        <f t="shared" si="0"/>
        <v>0</v>
      </c>
      <c r="Y21">
        <f t="shared" si="1"/>
        <v>0</v>
      </c>
      <c r="Z21">
        <f t="shared" si="2"/>
        <v>0</v>
      </c>
      <c r="AA21">
        <v>25</v>
      </c>
    </row>
    <row r="22" spans="2:27" x14ac:dyDescent="0.25">
      <c r="C22" s="9">
        <v>2</v>
      </c>
      <c r="D22" s="9">
        <v>3</v>
      </c>
      <c r="E22" s="9">
        <v>4</v>
      </c>
      <c r="F22" s="9">
        <v>5</v>
      </c>
      <c r="G22" s="9">
        <v>6</v>
      </c>
      <c r="H22" s="9">
        <v>7</v>
      </c>
      <c r="I22" s="9">
        <v>8</v>
      </c>
      <c r="J22" s="2"/>
      <c r="K22" s="2"/>
      <c r="L22" s="2"/>
      <c r="M22" s="2"/>
      <c r="N22" s="2"/>
      <c r="O22" s="2"/>
      <c r="P22" s="2"/>
      <c r="S22" t="s">
        <v>7</v>
      </c>
      <c r="W22" s="2">
        <v>100000</v>
      </c>
      <c r="X22">
        <f t="shared" si="0"/>
        <v>0</v>
      </c>
      <c r="Y22">
        <f t="shared" si="1"/>
        <v>0</v>
      </c>
      <c r="Z22">
        <f t="shared" si="2"/>
        <v>0</v>
      </c>
      <c r="AA22">
        <v>26</v>
      </c>
    </row>
    <row r="23" spans="2:27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8"/>
      <c r="M23" s="2"/>
      <c r="N23" s="2"/>
      <c r="O23" s="2"/>
      <c r="P23" s="2"/>
      <c r="S23" t="s">
        <v>13</v>
      </c>
      <c r="W23" s="2">
        <v>200000</v>
      </c>
      <c r="X23">
        <f t="shared" si="0"/>
        <v>0</v>
      </c>
      <c r="Y23">
        <f t="shared" si="1"/>
        <v>0</v>
      </c>
      <c r="Z23">
        <f t="shared" si="2"/>
        <v>0</v>
      </c>
    </row>
    <row r="24" spans="2:27" x14ac:dyDescent="0.25">
      <c r="B24" s="2"/>
      <c r="C24" s="2" t="s">
        <v>15</v>
      </c>
      <c r="D24" s="2"/>
      <c r="E24" s="2" t="s">
        <v>21</v>
      </c>
      <c r="F24" s="2" t="s">
        <v>22</v>
      </c>
      <c r="G24" s="2"/>
      <c r="H24" s="2"/>
      <c r="I24" s="2"/>
      <c r="J24" s="2"/>
      <c r="K24" s="2"/>
      <c r="L24" s="2"/>
      <c r="M24" s="2"/>
      <c r="N24" s="2"/>
      <c r="O24" s="2"/>
      <c r="P24" s="2"/>
      <c r="W24" s="2">
        <v>300000</v>
      </c>
      <c r="X24">
        <f t="shared" si="0"/>
        <v>1</v>
      </c>
      <c r="Y24">
        <f t="shared" si="1"/>
        <v>300000</v>
      </c>
      <c r="Z24">
        <f t="shared" si="2"/>
        <v>1</v>
      </c>
    </row>
    <row r="25" spans="2:27" x14ac:dyDescent="0.25">
      <c r="B25" s="2"/>
      <c r="C25" s="16">
        <f>$Y$31</f>
        <v>266675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W25" s="2">
        <v>400000</v>
      </c>
      <c r="X25">
        <f t="shared" si="0"/>
        <v>0</v>
      </c>
      <c r="Y25">
        <f t="shared" si="1"/>
        <v>0</v>
      </c>
      <c r="Z25">
        <f t="shared" si="2"/>
        <v>0</v>
      </c>
    </row>
    <row r="26" spans="2:27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W26" s="2">
        <v>500000</v>
      </c>
      <c r="X26">
        <f t="shared" si="0"/>
        <v>1</v>
      </c>
      <c r="Y26">
        <f t="shared" si="1"/>
        <v>500000</v>
      </c>
      <c r="Z26">
        <f t="shared" si="2"/>
        <v>1</v>
      </c>
    </row>
    <row r="27" spans="2:27" x14ac:dyDescent="0.25">
      <c r="B27" s="2" t="s">
        <v>19</v>
      </c>
      <c r="C27" s="10">
        <f>_xlfn.IFS(C28=1,$Z$104,C28=2,$Z$105,C28=3,$Z$106,C28=4,$Z$107,C28=5,$Z$108,C28=6,$Z$109,C28=7,$Z$110,C28=8,$Z$111,C28=9,$Z$112,C28=10,$Z$113,C28=11,$Z$114,C28=12,$Z$115,C28=13,$Z$116,C28=14,$Z$117,C28=15,$Z$118,C28=16,$Z$119,C28=17,$Z$120,C28=18,$Z$121,C28=19,$Z$122,C28=20,$Z$123,C28=21,$Z$124,C28=22,$Z$125,C28=23,$Z$126,C28=24,$Z$127,C28=25,$Z$128,C28=26,$Z$129)</f>
        <v>5000</v>
      </c>
      <c r="D27" s="10">
        <f>_xlfn.IFS(D28=1,$Z$104,D28=2,$Z$105,D28=3,$Z$106,D28=4,$Z$107,D28=5,$Z$108,D28=6,$Z$109,D28=7,$Z$110,D28=8,$Z$111,D28=9,$Z$112,D28=10,$Z$113,D28=11,$Z$114,D28=12,$Z$115,D28=13,$Z$116,D28=14,$Z$117,D28=15,$Z$118,D28=16,$Z$119,D28=17,$Z$120,D28=18,$Z$121,D28=19,$Z$122,D28=20,$Z$123,D28=21,$Z$124,D28=22,$Z$125,D28=23,$Z$126,D28=24,$Z$127,D28=25,$Z$128,D28=26,$Z$129)</f>
        <v>75</v>
      </c>
      <c r="E27" s="10">
        <f>_xlfn.IFS(E28=1,$Z$104,E28=2,$Z$105,E28=3,$Z$106,E28=4,$Z$107,E28=5,$Z$108,E28=6,$Z$109,E28=7,$Z$110,E28=8,$Z$111,E28=9,$Z$112,E28=10,$Z$113,E28=11,$Z$114,E28=12,$Z$115,E28=13,$Z$116,E28=14,$Z$117,E28=15,$Z$118,E28=16,$Z$119,E28=17,$Z$120,E28=18,$Z$121,E28=19,$Z$122,E28=20,$Z$123,E28=21,$Z$124,E28=22,$Z$125,E28=23,$Z$126,E28=24,$Z$127,E28=25,$Z$128,E28=26,$Z$129)</f>
        <v>1</v>
      </c>
      <c r="F27" s="10">
        <f>_xlfn.IFS(F28=1,$Z$104,F28=2,$Z$105,F28=3,$Z$106,F28=4,$Z$107,F28=5,$Z$108,F28=6,$Z$109,F28=7,$Z$110,F28=8,$Z$111,F28=9,$Z$112,F28=10,$Z$113,F28=11,$Z$114,F28=12,$Z$115,F28=13,$Z$116,F28=14,$Z$117,F28=15,$Z$118,F28=16,$Z$119,F28=17,$Z$120,F28=18,$Z$121,F28=19,$Z$122,F28=20,$Z$123,F28=21,$Z$124,F28=22,$Z$125,F28=23,$Z$126,F28=24,$Z$127,F28=25,$Z$128,F28=26,$Z$129)</f>
        <v>100</v>
      </c>
      <c r="G27" s="10">
        <f>_xlfn.IFS(G28=1,$Z$104,G28=2,$Z$105,G28=3,$Z$106,G28=4,$Z$107,G28=5,$Z$108,G28=6,$Z$109,G28=7,$Z$110,G28=8,$Z$111,G28=9,$Z$112,G28=10,$Z$113,G28=11,$Z$114,G28=12,$Z$115,G28=13,$Z$116,G28=14,$Z$117,G28=15,$Z$118,G28=16,$Z$119,G28=17,$Z$120,G28=18,$Z$121,G28=19,$Z$122,G28=20,$Z$123,G28=21,$Z$124,G28=22,$Z$125,G28=23,$Z$126,G28=24,$Z$127,G28=25,$Z$128,G28=26,$Z$129)</f>
        <v>10000</v>
      </c>
      <c r="H27" s="10">
        <f>_xlfn.IFS(H28=1,$Z$104,H28=2,$Z$105,H28=3,$Z$106,H28=4,$Z$107,H28=5,$Z$108,H28=6,$Z$109,H28=7,$Z$110,H28=8,$Z$111,H28=9,$Z$112,H28=10,$Z$113,H28=11,$Z$114,H28=12,$Z$115,H28=13,$Z$116,H28=14,$Z$117,H28=15,$Z$118,H28=16,$Z$119,H28=17,$Z$120,H28=18,$Z$121,H28=19,$Z$122,H28=20,$Z$123,H28=21,$Z$124,H28=22,$Z$125,H28=23,$Z$126,H28=24,$Z$127,H28=25,$Z$128,H28=26,$Z$129)</f>
        <v>400</v>
      </c>
      <c r="I27" s="3"/>
      <c r="J27" s="3"/>
      <c r="K27" s="2"/>
      <c r="L27" s="2"/>
      <c r="M27" s="2"/>
      <c r="N27" s="2"/>
      <c r="O27" s="2"/>
      <c r="P27" s="2"/>
      <c r="W27" s="2">
        <v>750000</v>
      </c>
      <c r="X27">
        <f t="shared" si="0"/>
        <v>0</v>
      </c>
      <c r="Y27">
        <f t="shared" si="1"/>
        <v>0</v>
      </c>
      <c r="Z27">
        <f t="shared" si="2"/>
        <v>0</v>
      </c>
    </row>
    <row r="28" spans="2:27" x14ac:dyDescent="0.25">
      <c r="B28" s="2"/>
      <c r="C28" s="9">
        <v>9</v>
      </c>
      <c r="D28" s="9">
        <v>10</v>
      </c>
      <c r="E28" s="9">
        <v>11</v>
      </c>
      <c r="F28" s="9">
        <v>12</v>
      </c>
      <c r="G28" s="9">
        <v>13</v>
      </c>
      <c r="H28" s="9">
        <v>14</v>
      </c>
      <c r="I28" s="2"/>
      <c r="J28" s="2"/>
      <c r="K28" s="2"/>
      <c r="L28" s="14"/>
      <c r="M28" s="2"/>
      <c r="N28" s="2"/>
      <c r="O28" s="2"/>
      <c r="P28" s="2"/>
      <c r="W28" s="2">
        <v>1000000</v>
      </c>
      <c r="X28">
        <f t="shared" si="0"/>
        <v>0</v>
      </c>
      <c r="Y28">
        <f t="shared" si="1"/>
        <v>0</v>
      </c>
      <c r="Z28">
        <f t="shared" si="2"/>
        <v>0</v>
      </c>
    </row>
    <row r="29" spans="2:27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2:27" x14ac:dyDescent="0.25">
      <c r="B30" s="2"/>
      <c r="C30" s="2" t="s">
        <v>20</v>
      </c>
      <c r="D30" s="2"/>
      <c r="E30" s="2" t="s">
        <v>21</v>
      </c>
      <c r="F30" s="2" t="s">
        <v>22</v>
      </c>
      <c r="G30" s="2"/>
      <c r="H30" s="2"/>
      <c r="I30" s="2"/>
      <c r="J30" s="2"/>
      <c r="K30" s="2"/>
      <c r="L30" s="2"/>
      <c r="M30" s="2"/>
      <c r="N30" s="2"/>
      <c r="Y30">
        <f>(SUM(Y3:Y28))</f>
        <v>800025</v>
      </c>
      <c r="Z30">
        <f>SUM(Z3:Z28)</f>
        <v>3</v>
      </c>
    </row>
    <row r="31" spans="2:27" x14ac:dyDescent="0.25">
      <c r="C31" s="17">
        <f>$Y$31</f>
        <v>266675</v>
      </c>
      <c r="K31" s="2"/>
      <c r="L31" s="2"/>
      <c r="Y31">
        <f>Y30/Z30</f>
        <v>266675</v>
      </c>
    </row>
    <row r="32" spans="2:27" x14ac:dyDescent="0.25">
      <c r="K32" s="2"/>
      <c r="L32" s="2"/>
    </row>
    <row r="33" spans="2:12" x14ac:dyDescent="0.25">
      <c r="B33" s="2" t="s">
        <v>23</v>
      </c>
      <c r="C33" s="10">
        <f>_xlfn.IFS(C34=1,$Z$104,C34=2,$Z$105,C34=3,$Z$106,C34=4,$Z$107,C34=5,$Z$108,C34=6,$Z$109,C34=7,$Z$110,C34=8,$Z$111,C34=9,$Z$112,C34=10,$Z$113,C34=11,$Z$114,C34=12,$Z$115,C34=13,$Z$116,C34=14,$Z$117,C34=15,$Z$118,C34=16,$Z$119,C34=17,$Z$120,C34=18,$Z$121,C34=19,$Z$122,C34=20,$Z$123,C34=21,$Z$124,C34=22,$Z$125,C34=23,$Z$126,C34=24,$Z$127,C34=25,$Z$128,C34=26,$Z$129)</f>
        <v>5</v>
      </c>
      <c r="D33" s="10">
        <f>_xlfn.IFS(D34=1,$Z$104,D34=2,$Z$105,D34=3,$Z$106,D34=4,$Z$107,D34=5,$Z$108,D34=6,$Z$109,D34=7,$Z$110,D34=8,$Z$111,D34=9,$Z$112,D34=10,$Z$113,D34=11,$Z$114,D34=12,$Z$115,D34=13,$Z$116,D34=14,$Z$117,D34=15,$Z$118,D34=16,$Z$119,D34=17,$Z$120,D34=18,$Z$121,D34=19,$Z$122,D34=20,$Z$123,D34=21,$Z$124,D34=22,$Z$125,D34=23,$Z$126,D34=24,$Z$127,D34=25,$Z$128,D34=26,$Z$129)</f>
        <v>100000</v>
      </c>
      <c r="E33" s="10">
        <f>_xlfn.IFS(E34=1,$Z$104,E34=2,$Z$105,E34=3,$Z$106,E34=4,$Z$107,E34=5,$Z$108,E34=6,$Z$109,E34=7,$Z$110,E34=8,$Z$111,E34=9,$Z$112,E34=10,$Z$113,E34=11,$Z$114,E34=12,$Z$115,E34=13,$Z$116,E34=14,$Z$117,E34=15,$Z$118,E34=16,$Z$119,E34=17,$Z$120,E34=18,$Z$121,E34=19,$Z$122,E34=20,$Z$123,E34=21,$Z$124,E34=22,$Z$125,E34=23,$Z$126,E34=24,$Z$127,E34=25,$Z$128,E34=26,$Z$129)</f>
        <v>75000</v>
      </c>
      <c r="F33" s="10">
        <f>_xlfn.IFS(F34=1,$Z$104,F34=2,$Z$105,F34=3,$Z$106,F34=4,$Z$107,F34=5,$Z$108,F34=6,$Z$109,F34=7,$Z$110,F34=8,$Z$111,F34=9,$Z$112,F34=10,$Z$113,F34=11,$Z$114,F34=12,$Z$115,F34=13,$Z$116,F34=14,$Z$117,F34=15,$Z$118,F34=16,$Z$119,F34=17,$Z$120,F34=18,$Z$121,F34=19,$Z$122,F34=20,$Z$123,F34=21,$Z$124,F34=22,$Z$125,F34=23,$Z$126,F34=24,$Z$127,F34=25,$Z$128,F34=26,$Z$129)</f>
        <v>25000</v>
      </c>
      <c r="L33" s="2"/>
    </row>
    <row r="34" spans="2:12" x14ac:dyDescent="0.25">
      <c r="B34" s="2"/>
      <c r="C34" s="9">
        <v>15</v>
      </c>
      <c r="D34" s="9">
        <v>16</v>
      </c>
      <c r="E34" s="9">
        <v>17</v>
      </c>
      <c r="F34" s="9">
        <v>18</v>
      </c>
      <c r="L34" s="2"/>
    </row>
    <row r="35" spans="2:12" x14ac:dyDescent="0.25">
      <c r="L35" s="2"/>
    </row>
    <row r="36" spans="2:12" x14ac:dyDescent="0.25">
      <c r="C36" s="2" t="s">
        <v>24</v>
      </c>
      <c r="D36" s="2"/>
      <c r="E36" s="2" t="s">
        <v>21</v>
      </c>
      <c r="F36" s="2" t="s">
        <v>22</v>
      </c>
      <c r="L36" s="2"/>
    </row>
    <row r="37" spans="2:12" x14ac:dyDescent="0.25">
      <c r="C37" s="15">
        <f>$Y$31</f>
        <v>266675</v>
      </c>
      <c r="L37" s="2"/>
    </row>
    <row r="38" spans="2:12" x14ac:dyDescent="0.25">
      <c r="L38" s="2"/>
    </row>
    <row r="39" spans="2:12" x14ac:dyDescent="0.25">
      <c r="B39" s="2" t="s">
        <v>25</v>
      </c>
      <c r="C39" s="10">
        <f>_xlfn.IFS(C40=1,$Z$104,C40=2,$Z$105,C40=3,$Z$106,C40=4,$Z$107,C40=5,$Z$108,C40=6,$Z$109,C40=7,$Z$110,C40=8,$Z$111,C40=9,$Z$112,C40=10,$Z$113,C40=11,$Z$114,C40=12,$Z$115,C40=13,$Z$116,C40=14,$Z$117,C40=15,$Z$118,C40=16,$Z$119,C40=17,$Z$120,C40=18,$Z$121,C40=19,$Z$122,C40=20,$Z$123,C40=21,$Z$124,C40=22,$Z$125,C40=23,$Z$126,C40=24,$Z$127,C40=25,$Z$128,C40=26,$Z$129)</f>
        <v>300</v>
      </c>
      <c r="D39" s="10">
        <f>_xlfn.IFS(D40=1,$Z$104,D40=2,$Z$105,D40=3,$Z$106,D40=4,$Z$107,D40=5,$Z$108,D40=6,$Z$109,D40=7,$Z$110,D40=8,$Z$111,D40=9,$Z$112,D40=10,$Z$113,D40=11,$Z$114,D40=12,$Z$115,D40=13,$Z$116,D40=14,$Z$117,D40=15,$Z$118,D40=16,$Z$119,D40=17,$Z$120,D40=18,$Z$121,D40=19,$Z$122,D40=20,$Z$123,D40=21,$Z$124,D40=22,$Z$125,D40=23,$Z$126,D40=24,$Z$127,D40=25,$Z$128,D40=26,$Z$129)</f>
        <v>50000</v>
      </c>
      <c r="E39" s="10">
        <f>_xlfn.IFS(E40=1,$Z$104,E40=2,$Z$105,E40=3,$Z$106,E40=4,$Z$107,E40=5,$Z$108,E40=6,$Z$109,E40=7,$Z$110,E40=8,$Z$111,E40=9,$Z$112,E40=10,$Z$113,E40=11,$Z$114,E40=12,$Z$115,E40=13,$Z$116,E40=14,$Z$117,E40=15,$Z$118,E40=16,$Z$119,E40=17,$Z$120,E40=18,$Z$121,E40=19,$Z$122,E40=20,$Z$123,E40=21,$Z$124,E40=22,$Z$125,E40=23,$Z$126,E40=24,$Z$127,E40=25,$Z$128,E40=26,$Z$129)</f>
        <v>0.01</v>
      </c>
      <c r="L39" s="2"/>
    </row>
    <row r="40" spans="2:12" x14ac:dyDescent="0.25">
      <c r="B40" s="2"/>
      <c r="C40" s="9">
        <v>19</v>
      </c>
      <c r="D40" s="9">
        <v>20</v>
      </c>
      <c r="E40" s="9">
        <v>21</v>
      </c>
      <c r="L40" s="2"/>
    </row>
    <row r="41" spans="2:12" x14ac:dyDescent="0.25">
      <c r="L41" s="2"/>
    </row>
    <row r="42" spans="2:12" x14ac:dyDescent="0.25">
      <c r="C42" s="2" t="s">
        <v>24</v>
      </c>
      <c r="D42" s="2"/>
      <c r="E42" s="2" t="s">
        <v>21</v>
      </c>
      <c r="F42" s="2" t="s">
        <v>22</v>
      </c>
      <c r="L42" s="2"/>
    </row>
    <row r="43" spans="2:12" x14ac:dyDescent="0.25">
      <c r="C43" s="15">
        <f>$Y$31</f>
        <v>266675</v>
      </c>
      <c r="L43" s="2"/>
    </row>
    <row r="45" spans="2:12" x14ac:dyDescent="0.25">
      <c r="B45" s="2" t="s">
        <v>26</v>
      </c>
      <c r="C45" s="10">
        <f>_xlfn.IFS(C46=1,$Z$104,C46=2,$Z$105,C46=3,$Z$106,C46=4,$Z$107,C46=5,$Z$108,C46=6,$Z$109,C46=7,$Z$110,C46=8,$Z$111,C46=9,$Z$112,C46=10,$Z$113,C46=11,$Z$114,C46=12,$Z$115,C46=13,$Z$116,C46=14,$Z$117,C46=15,$Z$118,C46=16,$Z$119,C46=17,$Z$120,C46=18,$Z$121,C46=19,$Z$122,C46=20,$Z$123,C46=21,$Z$124,C46=22,$Z$125,C46=23,$Z$126,C46=24,$Z$127,C46=25,$Z$128,C46=26,$Z$129)</f>
        <v>1000</v>
      </c>
      <c r="D45" s="10">
        <f>_xlfn.IFS(D46=1,$Z$104,D46=2,$Z$105,D46=3,$Z$106,D46=4,$Z$107,D46=5,$Z$108,D46=6,$Z$109,D46=7,$Z$110,D46=8,$Z$111,D46=9,$Z$112,D46=10,$Z$113,D46=11,$Z$114,D46=12,$Z$115,D46=13,$Z$116,D46=14,$Z$117,D46=15,$Z$118,D46=16,$Z$119,D46=17,$Z$120,D46=18,$Z$121,D46=19,$Z$122,D46=20,$Z$123,D46=21,$Z$124,D46=22,$Z$125,D46=23,$Z$126,D46=24,$Z$127,D46=25,$Z$128,D46=26,$Z$129)</f>
        <v>400000</v>
      </c>
    </row>
    <row r="46" spans="2:12" x14ac:dyDescent="0.25">
      <c r="B46" s="2"/>
      <c r="C46" s="9">
        <v>22</v>
      </c>
      <c r="D46" s="9">
        <v>23</v>
      </c>
    </row>
    <row r="48" spans="2:12" x14ac:dyDescent="0.25">
      <c r="C48" s="2" t="s">
        <v>27</v>
      </c>
      <c r="D48" s="2"/>
      <c r="E48" s="2" t="s">
        <v>21</v>
      </c>
      <c r="F48" s="2" t="s">
        <v>22</v>
      </c>
    </row>
    <row r="49" spans="2:6" x14ac:dyDescent="0.25">
      <c r="C49" s="16">
        <f>$Y$31</f>
        <v>266675</v>
      </c>
    </row>
    <row r="51" spans="2:6" x14ac:dyDescent="0.25">
      <c r="B51" s="2" t="s">
        <v>28</v>
      </c>
      <c r="C51" s="10">
        <f>_xlfn.IFS(C52=1,$Z$104,C52=2,$Z$105,C52=3,$Z$106,C52=4,$Z$107,C52=5,$Z$108,C52=6,$Z$109,C52=7,$Z$110,C52=8,$Z$111,C52=9,$Z$112,C52=10,$Z$113,C52=11,$Z$114,C52=12,$Z$115,C52=13,$Z$116,C52=14,$Z$117,C52=15,$Z$118,C52=16,$Z$119,C52=17,$Z$120,C52=18,$Z$121,C52=19,$Z$122,C52=20,$Z$123,C52=21,$Z$124,C52=22,$Z$125,C52=23,$Z$126,C52=24,$Z$127,C52=25,$Z$128,C52=26,$Z$129)</f>
        <v>1000000</v>
      </c>
    </row>
    <row r="52" spans="2:6" x14ac:dyDescent="0.25">
      <c r="B52" s="2"/>
      <c r="C52" s="9">
        <v>25</v>
      </c>
    </row>
    <row r="55" spans="2:6" x14ac:dyDescent="0.25">
      <c r="B55" s="2" t="s">
        <v>28</v>
      </c>
      <c r="C55" s="10" t="e">
        <f>_xlfn.IFS(C56=1,$Z$104,C56=2,$Z$105,C56=3,$Z$106,C56=4,$Z$107,C56=5,$Z$108,C56=6,$Z$109,C56=7,$Z$110,C56=8,$Z$111,C56=9,$Z$112,C56=10,$Z$113,C56=11,$Z$114,C56=12,$Z$115,C56=13,$Z$116,C56=14,$Z$117,C56=15,$Z$118,C56=16,$Z$119,C56=17,$Z$120,C56=18,$Z$121,C56=19,$Z$122,C56=20,$Z$123,C56=21,$Z$124,C56=22,$Z$125,C56=23,$Z$126,C56=24,$Z$127,C56=25,$Z$128,C56=26,$Z$129)</f>
        <v>#N/A</v>
      </c>
    </row>
    <row r="56" spans="2:6" x14ac:dyDescent="0.25">
      <c r="B56" s="2"/>
      <c r="C56" s="9">
        <v>0</v>
      </c>
    </row>
    <row r="58" spans="2:6" x14ac:dyDescent="0.25">
      <c r="C58" t="s">
        <v>39</v>
      </c>
    </row>
    <row r="59" spans="2:6" x14ac:dyDescent="0.25">
      <c r="C59" s="5">
        <f>Y31</f>
        <v>266675</v>
      </c>
    </row>
    <row r="61" spans="2:6" x14ac:dyDescent="0.25">
      <c r="C61" t="s">
        <v>29</v>
      </c>
    </row>
    <row r="62" spans="2:6" x14ac:dyDescent="0.25">
      <c r="C62" s="18"/>
      <c r="E62" t="s">
        <v>31</v>
      </c>
      <c r="F62" t="s">
        <v>32</v>
      </c>
    </row>
    <row r="63" spans="2:6" x14ac:dyDescent="0.25">
      <c r="E63">
        <f>C19</f>
        <v>1</v>
      </c>
    </row>
    <row r="64" spans="2:6" x14ac:dyDescent="0.25">
      <c r="C64" t="s">
        <v>30</v>
      </c>
    </row>
    <row r="65" spans="3:3" x14ac:dyDescent="0.25">
      <c r="C65" s="11">
        <f>$Y$31</f>
        <v>266675</v>
      </c>
    </row>
    <row r="103" spans="20:34" x14ac:dyDescent="0.25">
      <c r="W103" t="s">
        <v>16</v>
      </c>
    </row>
    <row r="104" spans="20:34" x14ac:dyDescent="0.25">
      <c r="T104">
        <f ca="1">RAND()</f>
        <v>0.78443811346112913</v>
      </c>
      <c r="U104">
        <f ca="1">RAND()</f>
        <v>0.9968135145663809</v>
      </c>
      <c r="V104">
        <v>0.19995257814631495</v>
      </c>
      <c r="W104" s="2">
        <v>0.01</v>
      </c>
      <c r="X104">
        <f>LARGE($V$104:$V$129,1)</f>
        <v>0.92659075177203287</v>
      </c>
      <c r="Y104">
        <v>1</v>
      </c>
      <c r="Z104">
        <f>VLOOKUP(X104,$V$104:$W$129,2,FALSE)</f>
        <v>300000</v>
      </c>
      <c r="AA104">
        <f>AB117</f>
        <v>1</v>
      </c>
      <c r="AB104" t="str">
        <f>E5</f>
        <v>----</v>
      </c>
      <c r="AC104" t="str">
        <f>F5</f>
        <v>----</v>
      </c>
      <c r="AD104" t="str">
        <f>G5</f>
        <v>----</v>
      </c>
      <c r="AE104">
        <f>H5</f>
        <v>24</v>
      </c>
      <c r="AF104" t="str">
        <f>I5</f>
        <v>----</v>
      </c>
      <c r="AG104">
        <f>J5</f>
        <v>26</v>
      </c>
    </row>
    <row r="105" spans="20:34" x14ac:dyDescent="0.25">
      <c r="T105">
        <f t="shared" ref="T105:T129" ca="1" si="4">RAND()</f>
        <v>0.26067244777825738</v>
      </c>
      <c r="U105" t="s">
        <v>33</v>
      </c>
      <c r="V105">
        <v>0.74945913592380364</v>
      </c>
      <c r="W105" s="2">
        <v>1</v>
      </c>
      <c r="X105">
        <f>LARGE($V$104:$V$129,2)</f>
        <v>0.92085664109500043</v>
      </c>
      <c r="Y105">
        <v>2</v>
      </c>
      <c r="Z105">
        <f t="shared" ref="Z105:Z129" si="5">VLOOKUP(X105,$V$104:$W$129,2,FALSE)</f>
        <v>200000</v>
      </c>
      <c r="AA105">
        <f>AC117</f>
        <v>0</v>
      </c>
      <c r="AB105" s="1">
        <v>21</v>
      </c>
      <c r="AC105" s="1">
        <v>22</v>
      </c>
      <c r="AD105" s="1">
        <v>23</v>
      </c>
      <c r="AE105" s="1">
        <v>24</v>
      </c>
      <c r="AF105" s="1">
        <v>25</v>
      </c>
      <c r="AG105" s="1">
        <v>26</v>
      </c>
    </row>
    <row r="106" spans="20:34" x14ac:dyDescent="0.25">
      <c r="T106">
        <f t="shared" ca="1" si="4"/>
        <v>0.29413067271198245</v>
      </c>
      <c r="V106">
        <v>0.49382693150682599</v>
      </c>
      <c r="W106" s="2">
        <v>5</v>
      </c>
      <c r="X106">
        <f>LARGE($V$104:$V$129,3)</f>
        <v>0.88305351588086378</v>
      </c>
      <c r="Y106">
        <v>3</v>
      </c>
      <c r="Z106">
        <f t="shared" si="5"/>
        <v>500</v>
      </c>
      <c r="AA106">
        <f>AD117</f>
        <v>0</v>
      </c>
      <c r="AB106" s="1">
        <f>Z124</f>
        <v>0.01</v>
      </c>
      <c r="AC106" s="1">
        <f>Z125</f>
        <v>1000</v>
      </c>
      <c r="AD106" s="1">
        <f>Z126</f>
        <v>400000</v>
      </c>
      <c r="AE106" s="1">
        <f>Z127</f>
        <v>25</v>
      </c>
      <c r="AF106" s="1">
        <f>Z128</f>
        <v>1000000</v>
      </c>
      <c r="AG106" s="1">
        <f>Z129</f>
        <v>500000</v>
      </c>
    </row>
    <row r="107" spans="20:34" x14ac:dyDescent="0.25">
      <c r="T107">
        <f t="shared" ca="1" si="4"/>
        <v>0.20772648272629102</v>
      </c>
      <c r="V107">
        <v>0.79278185979860771</v>
      </c>
      <c r="W107" s="2">
        <v>10</v>
      </c>
      <c r="X107">
        <f>LARGE($V$104:$V$129,4)</f>
        <v>0.86026628628067159</v>
      </c>
      <c r="Y107">
        <v>4</v>
      </c>
      <c r="Z107">
        <f t="shared" si="5"/>
        <v>750</v>
      </c>
      <c r="AA107">
        <f>AE117</f>
        <v>0</v>
      </c>
      <c r="AB107" t="str">
        <f>E8</f>
        <v>----</v>
      </c>
      <c r="AC107" t="str">
        <f>F8</f>
        <v>----</v>
      </c>
      <c r="AD107" t="str">
        <f>G8</f>
        <v>----</v>
      </c>
      <c r="AE107" t="str">
        <f>H8</f>
        <v>----</v>
      </c>
      <c r="AF107" t="str">
        <f>I8</f>
        <v>----</v>
      </c>
      <c r="AG107" t="str">
        <f>J8</f>
        <v>----</v>
      </c>
      <c r="AH107" t="str">
        <f>K8</f>
        <v>----</v>
      </c>
    </row>
    <row r="108" spans="20:34" x14ac:dyDescent="0.25">
      <c r="T108">
        <f t="shared" ca="1" si="4"/>
        <v>7.4695692086907073E-2</v>
      </c>
      <c r="V108">
        <v>0.14732916816358121</v>
      </c>
      <c r="W108" s="2">
        <v>25</v>
      </c>
      <c r="X108">
        <f>LARGE($V$104:$V$129,5)</f>
        <v>0.82493820528504103</v>
      </c>
      <c r="Y108">
        <v>5</v>
      </c>
      <c r="Z108">
        <f t="shared" si="5"/>
        <v>750000</v>
      </c>
      <c r="AA108">
        <f>AF117</f>
        <v>0</v>
      </c>
      <c r="AB108" s="1">
        <v>14</v>
      </c>
      <c r="AC108" s="1">
        <v>15</v>
      </c>
      <c r="AD108" s="1">
        <v>16</v>
      </c>
      <c r="AE108" s="1">
        <v>17</v>
      </c>
      <c r="AF108" s="1">
        <v>18</v>
      </c>
      <c r="AG108" s="1">
        <v>19</v>
      </c>
      <c r="AH108" s="1">
        <v>20</v>
      </c>
    </row>
    <row r="109" spans="20:34" x14ac:dyDescent="0.25">
      <c r="T109">
        <f t="shared" ca="1" si="4"/>
        <v>0.39612936351669159</v>
      </c>
      <c r="V109">
        <v>0.81036453849436219</v>
      </c>
      <c r="W109" s="2">
        <v>50</v>
      </c>
      <c r="X109">
        <f>LARGE($V$104:$V$129,Y109)</f>
        <v>0.81036453849436219</v>
      </c>
      <c r="Y109">
        <v>6</v>
      </c>
      <c r="Z109">
        <f t="shared" si="5"/>
        <v>50</v>
      </c>
      <c r="AA109">
        <f>AG117</f>
        <v>0</v>
      </c>
      <c r="AB109" s="1">
        <f>Z117</f>
        <v>400</v>
      </c>
      <c r="AC109" s="1">
        <f>Z118</f>
        <v>5</v>
      </c>
      <c r="AD109" s="1">
        <f>Z119</f>
        <v>100000</v>
      </c>
      <c r="AE109" s="1">
        <f>Z120</f>
        <v>75000</v>
      </c>
      <c r="AF109" s="1">
        <f>Z121</f>
        <v>25000</v>
      </c>
      <c r="AG109" s="1">
        <f>Z122</f>
        <v>300</v>
      </c>
      <c r="AH109" s="1">
        <f>Z123</f>
        <v>50000</v>
      </c>
    </row>
    <row r="110" spans="20:34" x14ac:dyDescent="0.25">
      <c r="T110">
        <f t="shared" ca="1" si="4"/>
        <v>0.73271865507933898</v>
      </c>
      <c r="V110">
        <v>0.7548144259848325</v>
      </c>
      <c r="W110" s="2">
        <v>75</v>
      </c>
      <c r="X110">
        <f t="shared" ref="X110:X128" si="6">LARGE($V$104:$V$129,Y110)</f>
        <v>0.79278185979860771</v>
      </c>
      <c r="Y110">
        <v>7</v>
      </c>
      <c r="Z110">
        <f t="shared" si="5"/>
        <v>10</v>
      </c>
      <c r="AA110">
        <f>AB119</f>
        <v>0</v>
      </c>
      <c r="AB110" t="str">
        <f>E11</f>
        <v>----</v>
      </c>
      <c r="AC110" t="str">
        <f>F11</f>
        <v>----</v>
      </c>
      <c r="AD110" t="str">
        <f>G11</f>
        <v>----</v>
      </c>
      <c r="AE110" t="str">
        <f>H11</f>
        <v>----</v>
      </c>
      <c r="AF110" t="str">
        <f>I11</f>
        <v>----</v>
      </c>
      <c r="AG110" t="str">
        <f>J11</f>
        <v>----</v>
      </c>
      <c r="AH110" t="str">
        <f>K11</f>
        <v>----</v>
      </c>
    </row>
    <row r="111" spans="20:34" x14ac:dyDescent="0.25">
      <c r="T111">
        <f t="shared" ca="1" si="4"/>
        <v>0.66691491965861727</v>
      </c>
      <c r="V111">
        <v>0.71813893089750536</v>
      </c>
      <c r="W111" s="2">
        <v>100</v>
      </c>
      <c r="X111">
        <f t="shared" si="6"/>
        <v>0.77568968218822643</v>
      </c>
      <c r="Y111">
        <v>8</v>
      </c>
      <c r="Z111">
        <f t="shared" si="5"/>
        <v>200</v>
      </c>
      <c r="AA111">
        <f>AC119</f>
        <v>0</v>
      </c>
      <c r="AB111" s="1">
        <v>7</v>
      </c>
      <c r="AC111" s="1">
        <v>8</v>
      </c>
      <c r="AD111" s="1">
        <v>9</v>
      </c>
      <c r="AE111" s="1">
        <v>10</v>
      </c>
      <c r="AF111" s="1">
        <v>11</v>
      </c>
      <c r="AG111" s="1">
        <v>12</v>
      </c>
      <c r="AH111" s="1">
        <v>13</v>
      </c>
    </row>
    <row r="112" spans="20:34" x14ac:dyDescent="0.25">
      <c r="T112">
        <f t="shared" ca="1" si="4"/>
        <v>0.44599830055054779</v>
      </c>
      <c r="V112">
        <v>0.77568968218822643</v>
      </c>
      <c r="W112" s="2">
        <v>200</v>
      </c>
      <c r="X112">
        <f t="shared" si="6"/>
        <v>0.7600469614172769</v>
      </c>
      <c r="Y112">
        <v>9</v>
      </c>
      <c r="Z112">
        <f t="shared" si="5"/>
        <v>5000</v>
      </c>
      <c r="AA112">
        <f>AD119</f>
        <v>0</v>
      </c>
      <c r="AB112" s="1">
        <f>Z110</f>
        <v>10</v>
      </c>
      <c r="AC112" s="1">
        <f>Z111</f>
        <v>200</v>
      </c>
      <c r="AD112" s="1">
        <f>Z112</f>
        <v>5000</v>
      </c>
      <c r="AE112" s="1">
        <f>Z113</f>
        <v>75</v>
      </c>
      <c r="AF112" s="1">
        <f>Z114</f>
        <v>1</v>
      </c>
      <c r="AG112" s="1">
        <f>Z115</f>
        <v>100</v>
      </c>
      <c r="AH112" s="1">
        <f>Z116</f>
        <v>10000</v>
      </c>
    </row>
    <row r="113" spans="20:35" x14ac:dyDescent="0.25">
      <c r="T113">
        <f t="shared" ca="1" si="4"/>
        <v>0.17717542804483921</v>
      </c>
      <c r="V113">
        <v>0.22998701200932348</v>
      </c>
      <c r="W113" s="2">
        <v>300</v>
      </c>
      <c r="X113">
        <f t="shared" si="6"/>
        <v>0.7548144259848325</v>
      </c>
      <c r="Y113">
        <v>10</v>
      </c>
      <c r="Z113">
        <f t="shared" si="5"/>
        <v>75</v>
      </c>
      <c r="AA113">
        <f>AE119</f>
        <v>0</v>
      </c>
      <c r="AB113">
        <f>E14</f>
        <v>1</v>
      </c>
      <c r="AC113" t="str">
        <f>F14</f>
        <v>----</v>
      </c>
      <c r="AD113" t="str">
        <f>G14</f>
        <v>----</v>
      </c>
      <c r="AE113" t="str">
        <f>H14</f>
        <v>----</v>
      </c>
      <c r="AF113" t="str">
        <f>I14</f>
        <v>----</v>
      </c>
      <c r="AG113" t="str">
        <f>J14</f>
        <v>----</v>
      </c>
    </row>
    <row r="114" spans="20:35" x14ac:dyDescent="0.25">
      <c r="T114">
        <f t="shared" ca="1" si="4"/>
        <v>0.69386979898370937</v>
      </c>
      <c r="V114">
        <v>0.52285341983565281</v>
      </c>
      <c r="W114" s="2">
        <v>400</v>
      </c>
      <c r="X114">
        <f t="shared" si="6"/>
        <v>0.74945913592380364</v>
      </c>
      <c r="Y114">
        <v>11</v>
      </c>
      <c r="Z114">
        <f t="shared" si="5"/>
        <v>1</v>
      </c>
      <c r="AA114">
        <f>AF119</f>
        <v>0</v>
      </c>
      <c r="AB114" s="1">
        <v>1</v>
      </c>
      <c r="AC114" s="1">
        <v>2</v>
      </c>
      <c r="AD114" s="1">
        <v>3</v>
      </c>
      <c r="AE114" s="1">
        <v>4</v>
      </c>
      <c r="AF114" s="1">
        <v>5</v>
      </c>
      <c r="AG114" s="1">
        <v>6</v>
      </c>
    </row>
    <row r="115" spans="20:35" x14ac:dyDescent="0.25">
      <c r="T115">
        <f t="shared" ca="1" si="4"/>
        <v>0.2370535817426368</v>
      </c>
      <c r="V115">
        <v>0.88305351588086378</v>
      </c>
      <c r="W115" s="2">
        <v>500</v>
      </c>
      <c r="X115">
        <f t="shared" si="6"/>
        <v>0.71813893089750536</v>
      </c>
      <c r="Y115">
        <v>12</v>
      </c>
      <c r="Z115">
        <f t="shared" si="5"/>
        <v>100</v>
      </c>
      <c r="AA115">
        <f>AG119</f>
        <v>0</v>
      </c>
      <c r="AB115" s="1">
        <f>Z104</f>
        <v>300000</v>
      </c>
      <c r="AC115" s="1">
        <f>Z105</f>
        <v>200000</v>
      </c>
      <c r="AD115" s="1">
        <f>Z106</f>
        <v>500</v>
      </c>
      <c r="AE115" s="1">
        <f>Z107</f>
        <v>750</v>
      </c>
      <c r="AF115" s="1">
        <f>Z108</f>
        <v>750000</v>
      </c>
      <c r="AG115" s="1">
        <f>Z109</f>
        <v>50</v>
      </c>
    </row>
    <row r="116" spans="20:35" x14ac:dyDescent="0.25">
      <c r="T116">
        <f t="shared" ca="1" si="4"/>
        <v>0.73494457687148795</v>
      </c>
      <c r="V116">
        <v>0.86026628628067159</v>
      </c>
      <c r="W116" s="2">
        <v>750</v>
      </c>
      <c r="X116">
        <f t="shared" si="6"/>
        <v>0.59896010281929557</v>
      </c>
      <c r="Y116">
        <v>13</v>
      </c>
      <c r="Z116">
        <f t="shared" si="5"/>
        <v>10000</v>
      </c>
      <c r="AA116">
        <f>AH119</f>
        <v>0</v>
      </c>
    </row>
    <row r="117" spans="20:35" x14ac:dyDescent="0.25">
      <c r="T117">
        <f t="shared" ca="1" si="4"/>
        <v>0.84047550677798699</v>
      </c>
      <c r="V117">
        <v>0.19584704984352785</v>
      </c>
      <c r="W117" s="2">
        <v>1000</v>
      </c>
      <c r="X117">
        <f t="shared" si="6"/>
        <v>0.52285341983565281</v>
      </c>
      <c r="Y117">
        <v>14</v>
      </c>
      <c r="Z117">
        <f t="shared" si="5"/>
        <v>400</v>
      </c>
      <c r="AA117">
        <f>AB121</f>
        <v>0</v>
      </c>
      <c r="AB117">
        <f>IF(AB113=AB114,1,0)</f>
        <v>1</v>
      </c>
      <c r="AC117">
        <f t="shared" ref="AC117:AG117" si="7">IF(AC113=AC114,1,0)</f>
        <v>0</v>
      </c>
      <c r="AD117">
        <f t="shared" si="7"/>
        <v>0</v>
      </c>
      <c r="AE117">
        <f t="shared" si="7"/>
        <v>0</v>
      </c>
      <c r="AF117">
        <f t="shared" si="7"/>
        <v>0</v>
      </c>
      <c r="AG117">
        <f t="shared" si="7"/>
        <v>0</v>
      </c>
      <c r="AI117" s="4" t="s">
        <v>34</v>
      </c>
    </row>
    <row r="118" spans="20:35" x14ac:dyDescent="0.25">
      <c r="T118">
        <f t="shared" ca="1" si="4"/>
        <v>0.17990932732147369</v>
      </c>
      <c r="V118">
        <v>0.7600469614172769</v>
      </c>
      <c r="W118" s="2">
        <v>5000</v>
      </c>
      <c r="X118">
        <f t="shared" si="6"/>
        <v>0.49382693150682599</v>
      </c>
      <c r="Y118">
        <v>15</v>
      </c>
      <c r="Z118">
        <f t="shared" si="5"/>
        <v>5</v>
      </c>
      <c r="AA118">
        <f>AC121</f>
        <v>0</v>
      </c>
    </row>
    <row r="119" spans="20:35" x14ac:dyDescent="0.25">
      <c r="T119">
        <f t="shared" ca="1" si="4"/>
        <v>0.27933866011531217</v>
      </c>
      <c r="V119">
        <v>0.59896010281929557</v>
      </c>
      <c r="W119" s="2">
        <v>10000</v>
      </c>
      <c r="X119">
        <f t="shared" si="6"/>
        <v>0.4280141300792375</v>
      </c>
      <c r="Y119">
        <v>16</v>
      </c>
      <c r="Z119">
        <f t="shared" si="5"/>
        <v>100000</v>
      </c>
      <c r="AA119">
        <f>AD121</f>
        <v>0</v>
      </c>
      <c r="AB119">
        <f>IF(AB111=AB110,1,0)</f>
        <v>0</v>
      </c>
      <c r="AC119">
        <f t="shared" ref="AC119:AH119" si="8">IF(AC111=AC110,1,0)</f>
        <v>0</v>
      </c>
      <c r="AD119">
        <f t="shared" si="8"/>
        <v>0</v>
      </c>
      <c r="AE119">
        <f t="shared" si="8"/>
        <v>0</v>
      </c>
      <c r="AF119">
        <f t="shared" si="8"/>
        <v>0</v>
      </c>
      <c r="AG119">
        <f t="shared" si="8"/>
        <v>0</v>
      </c>
      <c r="AH119">
        <f t="shared" si="8"/>
        <v>0</v>
      </c>
      <c r="AI119" t="s">
        <v>35</v>
      </c>
    </row>
    <row r="120" spans="20:35" x14ac:dyDescent="0.25">
      <c r="T120">
        <f t="shared" ca="1" si="4"/>
        <v>0.85660326649384766</v>
      </c>
      <c r="V120">
        <v>0.32607345104964436</v>
      </c>
      <c r="W120" s="2">
        <v>25000</v>
      </c>
      <c r="X120">
        <f t="shared" si="6"/>
        <v>0.33153347105727637</v>
      </c>
      <c r="Y120">
        <v>17</v>
      </c>
      <c r="Z120">
        <f t="shared" si="5"/>
        <v>75000</v>
      </c>
      <c r="AA120">
        <f>AE121</f>
        <v>0</v>
      </c>
    </row>
    <row r="121" spans="20:35" x14ac:dyDescent="0.25">
      <c r="T121">
        <f t="shared" ca="1" si="4"/>
        <v>0.25318463116309331</v>
      </c>
      <c r="V121">
        <v>0.21527358772148308</v>
      </c>
      <c r="W121" s="2">
        <v>50000</v>
      </c>
      <c r="X121">
        <f t="shared" si="6"/>
        <v>0.32607345104964436</v>
      </c>
      <c r="Y121">
        <v>18</v>
      </c>
      <c r="Z121">
        <f t="shared" si="5"/>
        <v>25000</v>
      </c>
      <c r="AA121">
        <f>AF121</f>
        <v>0</v>
      </c>
      <c r="AB121">
        <f>IF(AB108=AB107,1,0)</f>
        <v>0</v>
      </c>
      <c r="AC121">
        <f t="shared" ref="AC121:AH121" si="9">IF(AC108=AC107,1,0)</f>
        <v>0</v>
      </c>
      <c r="AD121">
        <f t="shared" si="9"/>
        <v>0</v>
      </c>
      <c r="AE121">
        <f t="shared" si="9"/>
        <v>0</v>
      </c>
      <c r="AF121">
        <f t="shared" si="9"/>
        <v>0</v>
      </c>
      <c r="AG121">
        <f t="shared" si="9"/>
        <v>0</v>
      </c>
      <c r="AH121">
        <f t="shared" si="9"/>
        <v>0</v>
      </c>
      <c r="AI121" t="s">
        <v>36</v>
      </c>
    </row>
    <row r="122" spans="20:35" x14ac:dyDescent="0.25">
      <c r="T122">
        <f t="shared" ca="1" si="4"/>
        <v>0.60468303006860635</v>
      </c>
      <c r="V122">
        <v>0.33153347105727637</v>
      </c>
      <c r="W122" s="2">
        <v>75000</v>
      </c>
      <c r="X122">
        <f t="shared" si="6"/>
        <v>0.22998701200932348</v>
      </c>
      <c r="Y122">
        <v>19</v>
      </c>
      <c r="Z122">
        <f t="shared" si="5"/>
        <v>300</v>
      </c>
      <c r="AA122">
        <f>AG121</f>
        <v>0</v>
      </c>
    </row>
    <row r="123" spans="20:35" x14ac:dyDescent="0.25">
      <c r="T123">
        <f t="shared" ca="1" si="4"/>
        <v>0.42362305604804085</v>
      </c>
      <c r="V123">
        <v>0.4280141300792375</v>
      </c>
      <c r="W123" s="2">
        <v>100000</v>
      </c>
      <c r="X123">
        <f t="shared" si="6"/>
        <v>0.21527358772148308</v>
      </c>
      <c r="Y123">
        <v>20</v>
      </c>
      <c r="Z123">
        <f t="shared" si="5"/>
        <v>50000</v>
      </c>
      <c r="AA123">
        <f>AH121</f>
        <v>0</v>
      </c>
      <c r="AB123">
        <f>IF(AB105=AB104,1,0)</f>
        <v>0</v>
      </c>
      <c r="AC123">
        <f t="shared" ref="AC123:AG123" si="10">IF(AC105=AC104,1,0)</f>
        <v>0</v>
      </c>
      <c r="AD123">
        <f t="shared" si="10"/>
        <v>0</v>
      </c>
      <c r="AE123">
        <f t="shared" si="10"/>
        <v>1</v>
      </c>
      <c r="AF123">
        <f t="shared" si="10"/>
        <v>0</v>
      </c>
      <c r="AG123">
        <f t="shared" si="10"/>
        <v>1</v>
      </c>
      <c r="AI123" t="s">
        <v>37</v>
      </c>
    </row>
    <row r="124" spans="20:35" x14ac:dyDescent="0.25">
      <c r="T124">
        <f t="shared" ca="1" si="4"/>
        <v>0.6675696295290805</v>
      </c>
      <c r="V124">
        <v>0.92085664109500043</v>
      </c>
      <c r="W124" s="2">
        <v>200000</v>
      </c>
      <c r="X124">
        <f t="shared" si="6"/>
        <v>0.19995257814631495</v>
      </c>
      <c r="Y124">
        <v>21</v>
      </c>
      <c r="Z124">
        <f t="shared" si="5"/>
        <v>0.01</v>
      </c>
      <c r="AA124">
        <f>AB123</f>
        <v>0</v>
      </c>
    </row>
    <row r="125" spans="20:35" x14ac:dyDescent="0.25">
      <c r="T125">
        <f t="shared" ca="1" si="4"/>
        <v>0.39954049785797163</v>
      </c>
      <c r="V125">
        <v>0.92659075177203287</v>
      </c>
      <c r="W125" s="2">
        <v>300000</v>
      </c>
      <c r="X125">
        <f t="shared" si="6"/>
        <v>0.19584704984352785</v>
      </c>
      <c r="Y125">
        <v>22</v>
      </c>
      <c r="Z125">
        <f t="shared" si="5"/>
        <v>1000</v>
      </c>
      <c r="AA125">
        <f>AC123</f>
        <v>0</v>
      </c>
    </row>
    <row r="126" spans="20:35" x14ac:dyDescent="0.25">
      <c r="T126">
        <f t="shared" ca="1" si="4"/>
        <v>0.18706277214797873</v>
      </c>
      <c r="V126">
        <v>0.15346547833787061</v>
      </c>
      <c r="W126" s="2">
        <v>400000</v>
      </c>
      <c r="X126">
        <f t="shared" si="6"/>
        <v>0.15346547833787061</v>
      </c>
      <c r="Y126">
        <v>23</v>
      </c>
      <c r="Z126">
        <f t="shared" si="5"/>
        <v>400000</v>
      </c>
      <c r="AA126">
        <f>AD123</f>
        <v>0</v>
      </c>
    </row>
    <row r="127" spans="20:35" x14ac:dyDescent="0.25">
      <c r="T127">
        <f t="shared" ca="1" si="4"/>
        <v>0.80980595830134805</v>
      </c>
      <c r="V127">
        <v>6.2046905039815359E-3</v>
      </c>
      <c r="W127" s="2">
        <v>500000</v>
      </c>
      <c r="X127">
        <f t="shared" si="6"/>
        <v>0.14732916816358121</v>
      </c>
      <c r="Y127">
        <v>24</v>
      </c>
      <c r="Z127">
        <f t="shared" si="5"/>
        <v>25</v>
      </c>
      <c r="AA127">
        <f>AE123</f>
        <v>1</v>
      </c>
    </row>
    <row r="128" spans="20:35" x14ac:dyDescent="0.25">
      <c r="T128">
        <f t="shared" ca="1" si="4"/>
        <v>0.68739172865656128</v>
      </c>
      <c r="V128">
        <v>0.82493820528504103</v>
      </c>
      <c r="W128" s="2">
        <v>750000</v>
      </c>
      <c r="X128">
        <f t="shared" si="6"/>
        <v>7.0799555397532909E-2</v>
      </c>
      <c r="Y128">
        <v>25</v>
      </c>
      <c r="Z128">
        <f t="shared" si="5"/>
        <v>1000000</v>
      </c>
      <c r="AA128">
        <f>AF123</f>
        <v>0</v>
      </c>
    </row>
    <row r="129" spans="20:27" x14ac:dyDescent="0.25">
      <c r="T129">
        <f t="shared" ca="1" si="4"/>
        <v>0.47692549666735484</v>
      </c>
      <c r="V129">
        <v>7.0799555397532909E-2</v>
      </c>
      <c r="W129" s="2">
        <v>1000000</v>
      </c>
      <c r="X129">
        <f>LARGE($V$104:$V$129,Y129)</f>
        <v>6.2046905039815359E-3</v>
      </c>
      <c r="Y129">
        <v>26</v>
      </c>
      <c r="Z129">
        <f t="shared" si="5"/>
        <v>500000</v>
      </c>
      <c r="AA129">
        <f>AG123</f>
        <v>1</v>
      </c>
    </row>
  </sheetData>
  <mergeCells count="1">
    <mergeCell ref="E1:K2"/>
  </mergeCells>
  <conditionalFormatting sqref="C3:C15">
    <cfRule type="expression" dxfId="7" priority="18">
      <formula>Y3</formula>
    </cfRule>
  </conditionalFormatting>
  <conditionalFormatting sqref="M3:M15">
    <cfRule type="expression" dxfId="6" priority="17">
      <formula>Y16</formula>
    </cfRule>
  </conditionalFormatting>
  <conditionalFormatting sqref="E5:J5">
    <cfRule type="expression" dxfId="5" priority="15">
      <formula>"----"</formula>
    </cfRule>
  </conditionalFormatting>
  <conditionalFormatting sqref="E14:J14 E11:K11 E8:K8 E5:J5">
    <cfRule type="cellIs" dxfId="4" priority="10" operator="between">
      <formula>1</formula>
      <formula>26</formula>
    </cfRule>
  </conditionalFormatting>
  <conditionalFormatting sqref="E15:J15">
    <cfRule type="expression" dxfId="3" priority="6">
      <formula>"&lt;$B$19"</formula>
    </cfRule>
  </conditionalFormatting>
  <conditionalFormatting sqref="E12:K12">
    <cfRule type="expression" dxfId="2" priority="3">
      <formula>"&lt;$B$19"</formula>
    </cfRule>
  </conditionalFormatting>
  <conditionalFormatting sqref="E9:K9">
    <cfRule type="expression" dxfId="1" priority="2">
      <formula>"&lt;$B$19"</formula>
    </cfRule>
  </conditionalFormatting>
  <conditionalFormatting sqref="E6:J6">
    <cfRule type="expression" dxfId="0" priority="1">
      <formula>"&lt;$B$19"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4" r:id="rId3" name="Button 220">
              <controlPr defaultSize="0" print="0" autoFill="0" autoPict="0" macro="[0]!coverbox">
                <anchor moveWithCells="1" sizeWithCells="1">
                  <from>
                    <xdr:col>4</xdr:col>
                    <xdr:colOff>57150</xdr:colOff>
                    <xdr:row>30</xdr:row>
                    <xdr:rowOff>0</xdr:rowOff>
                  </from>
                  <to>
                    <xdr:col>4</xdr:col>
                    <xdr:colOff>762000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" name="Button 221">
              <controlPr defaultSize="0" print="0" autoFill="0" autoPict="0" macro="[0]!deletebox2">
                <anchor moveWithCells="1" sizeWithCells="1">
                  <from>
                    <xdr:col>5</xdr:col>
                    <xdr:colOff>57150</xdr:colOff>
                    <xdr:row>30</xdr:row>
                    <xdr:rowOff>0</xdr:rowOff>
                  </from>
                  <to>
                    <xdr:col>5</xdr:col>
                    <xdr:colOff>762000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5" name="Button 222">
              <controlPr defaultSize="0" print="0" autoFill="0" autoPict="0" macro="[0]!coverbox">
                <anchor moveWithCells="1" sizeWithCells="1">
                  <from>
                    <xdr:col>4</xdr:col>
                    <xdr:colOff>57150</xdr:colOff>
                    <xdr:row>24</xdr:row>
                    <xdr:rowOff>0</xdr:rowOff>
                  </from>
                  <to>
                    <xdr:col>4</xdr:col>
                    <xdr:colOff>762000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6" name="Button 223">
              <controlPr defaultSize="0" print="0" autoFill="0" autoPict="0" macro="[0]!resetboard">
                <anchor moveWithCells="1" sizeWithCells="1">
                  <from>
                    <xdr:col>2</xdr:col>
                    <xdr:colOff>19050</xdr:colOff>
                    <xdr:row>70</xdr:row>
                    <xdr:rowOff>9525</xdr:rowOff>
                  </from>
                  <to>
                    <xdr:col>3</xdr:col>
                    <xdr:colOff>209550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7" name="Button 225">
              <controlPr defaultSize="0" print="0" autoFill="0" autoPict="0" macro="[0]!resetnumbers">
                <anchor moveWithCells="1" sizeWithCells="1">
                  <from>
                    <xdr:col>3</xdr:col>
                    <xdr:colOff>419100</xdr:colOff>
                    <xdr:row>70</xdr:row>
                    <xdr:rowOff>19050</xdr:rowOff>
                  </from>
                  <to>
                    <xdr:col>4</xdr:col>
                    <xdr:colOff>752475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8" name="Button 226">
              <controlPr defaultSize="0" print="0" autoFill="0" autoPict="0" macro="[0]!offer1reveal">
                <anchor moveWithCells="1" sizeWithCells="1">
                  <from>
                    <xdr:col>9</xdr:col>
                    <xdr:colOff>104775</xdr:colOff>
                    <xdr:row>20</xdr:row>
                    <xdr:rowOff>19050</xdr:rowOff>
                  </from>
                  <to>
                    <xdr:col>10</xdr:col>
                    <xdr:colOff>257175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9" name="Button 227">
              <controlPr defaultSize="0" print="0" autoFill="0" autoPict="0" macro="[0]!offer2reveal">
                <anchor moveWithCells="1" sizeWithCells="1">
                  <from>
                    <xdr:col>8</xdr:col>
                    <xdr:colOff>47625</xdr:colOff>
                    <xdr:row>26</xdr:row>
                    <xdr:rowOff>9525</xdr:rowOff>
                  </from>
                  <to>
                    <xdr:col>9</xdr:col>
                    <xdr:colOff>238125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0" name="Button 228">
              <controlPr defaultSize="0" print="0" autoFill="0" autoPict="0" macro="[0]!offer3reveal">
                <anchor moveWithCells="1" sizeWithCells="1">
                  <from>
                    <xdr:col>6</xdr:col>
                    <xdr:colOff>57150</xdr:colOff>
                    <xdr:row>32</xdr:row>
                    <xdr:rowOff>9525</xdr:rowOff>
                  </from>
                  <to>
                    <xdr:col>7</xdr:col>
                    <xdr:colOff>219075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1" name="Button 229">
              <controlPr defaultSize="0" print="0" autoFill="0" autoPict="0" macro="[0]!offer1reveal">
                <anchor moveWithCells="1" siz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304800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2" name="Button 230">
              <controlPr defaultSize="0" print="0" autoFill="0" autoPict="0" macro="[0]!offer1reveal">
                <anchor moveWithCells="1" sizeWithCells="1">
                  <from>
                    <xdr:col>4</xdr:col>
                    <xdr:colOff>57150</xdr:colOff>
                    <xdr:row>44</xdr:row>
                    <xdr:rowOff>28575</xdr:rowOff>
                  </from>
                  <to>
                    <xdr:col>5</xdr:col>
                    <xdr:colOff>304800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3" name="Button 231">
              <controlPr defaultSize="0" print="0" autoFill="0" autoPict="0" macro="[0]!offer1reveal">
                <anchor moveWithCells="1" sizeWithCells="1">
                  <from>
                    <xdr:col>3</xdr:col>
                    <xdr:colOff>66675</xdr:colOff>
                    <xdr:row>50</xdr:row>
                    <xdr:rowOff>19050</xdr:rowOff>
                  </from>
                  <to>
                    <xdr:col>4</xdr:col>
                    <xdr:colOff>295275</xdr:colOff>
                    <xdr:row>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4" name="Button 232">
              <controlPr defaultSize="0" print="0" autoFill="0" autoPict="0" macro="[0]!nodeal12">
                <anchor moveWithCells="1" sizeWithCells="1">
                  <from>
                    <xdr:col>5</xdr:col>
                    <xdr:colOff>38100</xdr:colOff>
                    <xdr:row>23</xdr:row>
                    <xdr:rowOff>180975</xdr:rowOff>
                  </from>
                  <to>
                    <xdr:col>5</xdr:col>
                    <xdr:colOff>800100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5" name="Button 233">
              <controlPr defaultSize="0" print="0" autoFill="0" autoPict="0" macro="[0]!coverbox">
                <anchor moveWithCells="1" sizeWithCells="1">
                  <from>
                    <xdr:col>4</xdr:col>
                    <xdr:colOff>57150</xdr:colOff>
                    <xdr:row>36</xdr:row>
                    <xdr:rowOff>0</xdr:rowOff>
                  </from>
                  <to>
                    <xdr:col>4</xdr:col>
                    <xdr:colOff>762000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" name="Button 234">
              <controlPr defaultSize="0" print="0" autoFill="0" autoPict="0" macro="[0]!deletebox2">
                <anchor moveWithCells="1" sizeWithCells="1">
                  <from>
                    <xdr:col>5</xdr:col>
                    <xdr:colOff>57150</xdr:colOff>
                    <xdr:row>36</xdr:row>
                    <xdr:rowOff>0</xdr:rowOff>
                  </from>
                  <to>
                    <xdr:col>5</xdr:col>
                    <xdr:colOff>762000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7" name="Button 235">
              <controlPr defaultSize="0" print="0" autoFill="0" autoPict="0" macro="[0]!deletebox2">
                <anchor moveWithCells="1" sizeWithCells="1">
                  <from>
                    <xdr:col>5</xdr:col>
                    <xdr:colOff>57150</xdr:colOff>
                    <xdr:row>42</xdr:row>
                    <xdr:rowOff>0</xdr:rowOff>
                  </from>
                  <to>
                    <xdr:col>5</xdr:col>
                    <xdr:colOff>762000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8" name="Button 236">
              <controlPr defaultSize="0" print="0" autoFill="0" autoPict="0" macro="[0]!deletebox2">
                <anchor moveWithCells="1" sizeWithCells="1">
                  <from>
                    <xdr:col>5</xdr:col>
                    <xdr:colOff>57150</xdr:colOff>
                    <xdr:row>48</xdr:row>
                    <xdr:rowOff>0</xdr:rowOff>
                  </from>
                  <to>
                    <xdr:col>5</xdr:col>
                    <xdr:colOff>762000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9" name="Button 237">
              <controlPr defaultSize="0" print="0" autoFill="0" autoPict="0" macro="[0]!coverbox">
                <anchor moveWithCells="1" sizeWithCells="1">
                  <from>
                    <xdr:col>4</xdr:col>
                    <xdr:colOff>57150</xdr:colOff>
                    <xdr:row>42</xdr:row>
                    <xdr:rowOff>0</xdr:rowOff>
                  </from>
                  <to>
                    <xdr:col>4</xdr:col>
                    <xdr:colOff>762000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0" name="Button 238">
              <controlPr defaultSize="0" print="0" autoFill="0" autoPict="0" macro="[0]!coverbox">
                <anchor moveWithCells="1" sizeWithCells="1">
                  <from>
                    <xdr:col>4</xdr:col>
                    <xdr:colOff>57150</xdr:colOff>
                    <xdr:row>48</xdr:row>
                    <xdr:rowOff>0</xdr:rowOff>
                  </from>
                  <to>
                    <xdr:col>4</xdr:col>
                    <xdr:colOff>762000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bcosby</dc:creator>
  <cp:lastModifiedBy>bcosby</cp:lastModifiedBy>
  <dcterms:created xsi:type="dcterms:W3CDTF">2019-02-19T05:19:18Z</dcterms:created>
  <dcterms:modified xsi:type="dcterms:W3CDTF">2019-02-21T08:48:09Z</dcterms:modified>
</cp:coreProperties>
</file>